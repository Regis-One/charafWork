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slicerCaches/slicerCache1.xml" ContentType="application/vnd.ms-excel.slicerCache+xml"/>
  <Override PartName="/xl/pivotCache/pivotCacheDefinition5.xml" ContentType="application/vnd.openxmlformats-officedocument.spreadsheetml.pivotCacheDefinition+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tables/table2.xml" ContentType="application/vnd.openxmlformats-officedocument.spreadsheetml.table+xml"/>
  <Override PartName="/xl/drawings/drawing5.xml" ContentType="application/vnd.openxmlformats-officedocument.drawing+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hidePivotFieldList="1" defaultThemeVersion="166925"/>
  <mc:AlternateContent xmlns:mc="http://schemas.openxmlformats.org/markup-compatibility/2006">
    <mc:Choice Requires="x15">
      <x15ac:absPath xmlns:x15ac="http://schemas.microsoft.com/office/spreadsheetml/2010/11/ac" url="https://algonquinlivecom-my.sharepoint.com/personal/idri0022_algonquinlive_com/Documents/Desktop/Awatif's Project/"/>
    </mc:Choice>
  </mc:AlternateContent>
  <xr:revisionPtr revIDLastSave="163" documentId="13_ncr:1_{A70DB9E0-F1FD-41D9-8814-69E900DCD1DE}" xr6:coauthVersionLast="47" xr6:coauthVersionMax="47" xr10:uidLastSave="{A632BD9D-9FD3-4499-BEF8-2C918557722D}"/>
  <bookViews>
    <workbookView xWindow="-108" yWindow="-108" windowWidth="23256" windowHeight="12456" xr2:uid="{A4A46115-839C-44DA-82F5-76998171791A}"/>
  </bookViews>
  <sheets>
    <sheet name="Accueil" sheetId="1" r:id="rId1"/>
    <sheet name="Personnel" sheetId="10" state="hidden" r:id="rId2"/>
    <sheet name="Feuil2" sheetId="12" state="hidden" r:id="rId3"/>
    <sheet name="Tableau de bord" sheetId="5" state="hidden" r:id="rId4"/>
    <sheet name="Produits" sheetId="8" state="hidden" r:id="rId5"/>
    <sheet name="Facturation" sheetId="2" state="hidden" r:id="rId6"/>
    <sheet name="Client" sheetId="9" state="hidden" r:id="rId7"/>
    <sheet name="Vente" sheetId="4" state="hidden" r:id="rId8"/>
    <sheet name="Vacances" sheetId="3" state="hidden" r:id="rId9"/>
  </sheets>
  <definedNames>
    <definedName name="_xlnm._FilterDatabase" localSheetId="7" hidden="1">Vente!$A$1:$B$1</definedName>
    <definedName name="_xlcn.WorksheetConnection_ClientA1D151" hidden="1">Client!$A$1:$D$15</definedName>
    <definedName name="_xlcn.WorksheetConnection_PersonnelA1D151" hidden="1">Personnel!$A$1:$D$15</definedName>
    <definedName name="Chronologie_Date">#N/A</definedName>
    <definedName name="DonnéesExternes_1" localSheetId="2" hidden="1">Feuil2!$A$3:$D$4</definedName>
    <definedName name="Segment_Mode_de_paiement">#N/A</definedName>
  </definedNames>
  <calcPr calcId="191029"/>
  <pivotCaches>
    <pivotCache cacheId="0" r:id="rId10"/>
    <pivotCache cacheId="1" r:id="rId11"/>
    <pivotCache cacheId="2" r:id="rId12"/>
  </pivotCaches>
  <extLst>
    <ext xmlns:x14="http://schemas.microsoft.com/office/spreadsheetml/2009/9/main" uri="{876F7934-8845-4945-9796-88D515C7AA90}">
      <x14:pivotCaches>
        <pivotCache cacheId="3" r:id="rId13"/>
      </x14:pivotCaches>
    </ext>
    <ext xmlns:x14="http://schemas.microsoft.com/office/spreadsheetml/2009/9/main" uri="{BBE1A952-AA13-448e-AADC-164F8A28A991}">
      <x14:slicerCaches>
        <x14:slicerCache r:id="rId14"/>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4" r:id="rId15"/>
      </x15:timelineCachePivotCaches>
    </ext>
    <ext xmlns:x15="http://schemas.microsoft.com/office/spreadsheetml/2010/11/main" uri="{D0CA8CA8-9F24-4464-BF8E-62219DCF47F9}">
      <x15:timelineCacheRefs>
        <x15:timelineCacheRef r:id="rId16"/>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Plage 1" name="Plage 1" connection="WorksheetConnection_Personnel!$A$1:$D$15"/>
          <x15:modelTable id="Plage" name="Plage" connection="WorksheetConnection_Client!$A$1:$D$15"/>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5" i="2"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6490035-E29C-4081-B546-820321A3FE71}" keepAlive="1" name="ModelConnection_DonnéesExternes_1" description="Modèle de données" type="5" refreshedVersion="8" minRefreshableVersion="5" saveData="1">
    <dbPr connection="Data Model Connection" command="DRILLTHROUGH MAXROWS 1000 SELECT FROM [Model] WHERE ((([Measures].[Somme de Montant],[Plage].[Mode de paiement].&amp;[Interac],[Plage].[Nom du client].&amp;[kriten]),[Plage].[Date].&amp;[2023-04-16T00:00:00])) RETURN [$Plage].[Date],[$Plage].[Nom du client],[$Plage].[Montant],[$Plage].[Mode de paiement]" commandType="4"/>
    <extLst>
      <ext xmlns:x15="http://schemas.microsoft.com/office/spreadsheetml/2010/11/main" uri="{DE250136-89BD-433C-8126-D09CA5730AF9}">
        <x15:connection id="" model="1"/>
      </ext>
    </extLst>
  </connection>
  <connection id="2" xr16:uid="{90427D75-8EBE-4DE6-A2B2-4B8973363267}" keepAlive="1" name="ThisWorkbookDataModel" description="Modèle de données"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2D689DD0-84C2-4E17-8505-73E4CE82A745}" name="WorksheetConnection_Client!$A$1:$D$15" type="102" refreshedVersion="8" minRefreshableVersion="5">
    <extLst>
      <ext xmlns:x15="http://schemas.microsoft.com/office/spreadsheetml/2010/11/main" uri="{DE250136-89BD-433C-8126-D09CA5730AF9}">
        <x15:connection id="Plage" autoDelete="1">
          <x15:rangePr sourceName="_xlcn.WorksheetConnection_ClientA1D151"/>
        </x15:connection>
      </ext>
    </extLst>
  </connection>
  <connection id="4" xr16:uid="{ABC03096-1EBB-4579-BB4B-924B0122695F}" name="WorksheetConnection_Personnel!$A$1:$D$15" type="102" refreshedVersion="8" minRefreshableVersion="5">
    <extLst>
      <ext xmlns:x15="http://schemas.microsoft.com/office/spreadsheetml/2010/11/main" uri="{DE250136-89BD-433C-8126-D09CA5730AF9}">
        <x15:connection id="Plage 1" autoDelete="1">
          <x15:rangePr sourceName="_xlcn.WorksheetConnection_PersonnelA1D151"/>
        </x15:connection>
      </ext>
    </extLst>
  </connection>
</connections>
</file>

<file path=xl/sharedStrings.xml><?xml version="1.0" encoding="utf-8"?>
<sst xmlns="http://schemas.openxmlformats.org/spreadsheetml/2006/main" count="257" uniqueCount="160">
  <si>
    <t>Coût unitaire</t>
  </si>
  <si>
    <t>Quantité</t>
  </si>
  <si>
    <t>Total</t>
  </si>
  <si>
    <t>Remise</t>
  </si>
  <si>
    <t>Taxe</t>
  </si>
  <si>
    <t>Mode de paiement</t>
  </si>
  <si>
    <t>Montant</t>
  </si>
  <si>
    <t>A101</t>
  </si>
  <si>
    <t>A102</t>
  </si>
  <si>
    <t>Article</t>
  </si>
  <si>
    <t>A103</t>
  </si>
  <si>
    <t>Sous-Total</t>
  </si>
  <si>
    <t>Taux de la taxe</t>
  </si>
  <si>
    <t>A105</t>
  </si>
  <si>
    <t>Réf</t>
  </si>
  <si>
    <t>A104</t>
  </si>
  <si>
    <t>A106</t>
  </si>
  <si>
    <t>A107</t>
  </si>
  <si>
    <t>A108</t>
  </si>
  <si>
    <t>A109</t>
  </si>
  <si>
    <t>A110</t>
  </si>
  <si>
    <t>A111</t>
  </si>
  <si>
    <t>A112</t>
  </si>
  <si>
    <t>A113</t>
  </si>
  <si>
    <t>A114</t>
  </si>
  <si>
    <t>A115</t>
  </si>
  <si>
    <t>A116</t>
  </si>
  <si>
    <t>A117</t>
  </si>
  <si>
    <t>A118</t>
  </si>
  <si>
    <t>A119</t>
  </si>
  <si>
    <t>A120</t>
  </si>
  <si>
    <t>Description</t>
  </si>
  <si>
    <t xml:space="preserve">Prix </t>
  </si>
  <si>
    <t>Agave</t>
  </si>
  <si>
    <t xml:space="preserve">Alocasia Amazonica </t>
  </si>
  <si>
    <t>Arbre Ficus Alii</t>
  </si>
  <si>
    <t>Arbre Pandamus</t>
  </si>
  <si>
    <t>Bambou de luxe</t>
  </si>
  <si>
    <t>Bonsai</t>
  </si>
  <si>
    <t>Boule de Buis</t>
  </si>
  <si>
    <t>Boule de Buis ovale</t>
  </si>
  <si>
    <t xml:space="preserve">Boules De Cyprès </t>
  </si>
  <si>
    <t xml:space="preserve">Buis carrée </t>
  </si>
  <si>
    <t>Buis rectangulaire</t>
  </si>
  <si>
    <t>Bouleau</t>
  </si>
  <si>
    <t>Branche de Pussy Willow</t>
  </si>
  <si>
    <t>Buisson Forsythia</t>
  </si>
  <si>
    <t xml:space="preserve">Calathea makoyana </t>
  </si>
  <si>
    <t xml:space="preserve">Chêne </t>
  </si>
  <si>
    <t>Dahlia</t>
  </si>
  <si>
    <t xml:space="preserve">Cyperus </t>
  </si>
  <si>
    <t>Gazon</t>
  </si>
  <si>
    <t>Géranium</t>
  </si>
  <si>
    <t>N101</t>
  </si>
  <si>
    <t>N102</t>
  </si>
  <si>
    <t>N103</t>
  </si>
  <si>
    <t>N104</t>
  </si>
  <si>
    <t>N105</t>
  </si>
  <si>
    <t>N106</t>
  </si>
  <si>
    <t>N107</t>
  </si>
  <si>
    <t>N108</t>
  </si>
  <si>
    <t>N109</t>
  </si>
  <si>
    <t>N110</t>
  </si>
  <si>
    <t>N111</t>
  </si>
  <si>
    <t>N112</t>
  </si>
  <si>
    <t>N113</t>
  </si>
  <si>
    <t>N114</t>
  </si>
  <si>
    <t>N115</t>
  </si>
  <si>
    <t>N116</t>
  </si>
  <si>
    <t>N117</t>
  </si>
  <si>
    <t>N118</t>
  </si>
  <si>
    <t>N119</t>
  </si>
  <si>
    <t>N120</t>
  </si>
  <si>
    <t>Ananas</t>
  </si>
  <si>
    <t>Aralia</t>
  </si>
  <si>
    <t>Fougère</t>
  </si>
  <si>
    <t xml:space="preserve">Banane </t>
  </si>
  <si>
    <t>Begonia</t>
  </si>
  <si>
    <t>Caladium</t>
  </si>
  <si>
    <t>Croton</t>
  </si>
  <si>
    <t>Coleus</t>
  </si>
  <si>
    <t>Cycas</t>
  </si>
  <si>
    <t>Dracaena</t>
  </si>
  <si>
    <t xml:space="preserve">Eugenia </t>
  </si>
  <si>
    <t>Ficus</t>
  </si>
  <si>
    <t>Jacobaea</t>
  </si>
  <si>
    <t>Ginger</t>
  </si>
  <si>
    <t>Lierre</t>
  </si>
  <si>
    <t>Laurier</t>
  </si>
  <si>
    <t>Orange</t>
  </si>
  <si>
    <t>Palmier</t>
  </si>
  <si>
    <t>Pilea</t>
  </si>
  <si>
    <t>Pothos</t>
  </si>
  <si>
    <t>Jours de vacances</t>
  </si>
  <si>
    <t>Date début</t>
  </si>
  <si>
    <t xml:space="preserve">Date fin </t>
  </si>
  <si>
    <t>Date</t>
  </si>
  <si>
    <t>Nom du client</t>
  </si>
  <si>
    <t xml:space="preserve">Montant a payer </t>
  </si>
  <si>
    <t>Paiement Par</t>
  </si>
  <si>
    <t>Articles Vendus</t>
  </si>
  <si>
    <t>Veuillez cliquer sur le bouton désiré pour accéder au module</t>
  </si>
  <si>
    <t>Nom complet</t>
  </si>
  <si>
    <t xml:space="preserve">Immatricule </t>
  </si>
  <si>
    <t xml:space="preserve">Salaire </t>
  </si>
  <si>
    <t>Interac</t>
  </si>
  <si>
    <t>Espèces</t>
  </si>
  <si>
    <t>Chèque</t>
  </si>
  <si>
    <t>kriten</t>
  </si>
  <si>
    <t>Somme de Quantité</t>
  </si>
  <si>
    <t>Plage[Date]</t>
  </si>
  <si>
    <t>Plage[Nom du client]</t>
  </si>
  <si>
    <t>Plage[Montant]</t>
  </si>
  <si>
    <t>Plage[Mode de paiement]</t>
  </si>
  <si>
    <t>Données renvoyées pour Somme de Montant, Interac - kriten, 2023-04-16 (1000 premières lignes).</t>
  </si>
  <si>
    <t>IMM25</t>
  </si>
  <si>
    <t>IMM26</t>
  </si>
  <si>
    <t>Sum of Montant</t>
  </si>
  <si>
    <t>IMM27</t>
  </si>
  <si>
    <t>IMM28</t>
  </si>
  <si>
    <t>IMM31</t>
  </si>
  <si>
    <t>IMM32</t>
  </si>
  <si>
    <t>IMM33</t>
  </si>
  <si>
    <t>IMM34</t>
  </si>
  <si>
    <t>IMM29</t>
  </si>
  <si>
    <t>IMM30</t>
  </si>
  <si>
    <t>Nombre d'heures travaillés/semaine</t>
  </si>
  <si>
    <t>Sophie Martin</t>
  </si>
  <si>
    <t>Pierre Dubois</t>
  </si>
  <si>
    <t>Marie Dupont</t>
  </si>
  <si>
    <t>Julien Martinez</t>
  </si>
  <si>
    <t>Isabelle Rousseau</t>
  </si>
  <si>
    <t>Jeanne Bernard</t>
  </si>
  <si>
    <t>Thomas Levebvre</t>
  </si>
  <si>
    <t>Sandrine Moreau</t>
  </si>
  <si>
    <t>Nicolas Lambert</t>
  </si>
  <si>
    <t>Clair Mercier</t>
  </si>
  <si>
    <t>Somme de Salaire</t>
  </si>
  <si>
    <t>Grand Total</t>
  </si>
  <si>
    <t>2275 chemin St François</t>
  </si>
  <si>
    <t>Dorval, QC</t>
  </si>
  <si>
    <t>H9P 1K3</t>
  </si>
  <si>
    <t>Planterra</t>
  </si>
  <si>
    <t xml:space="preserve">Mery Leclaire </t>
  </si>
  <si>
    <t xml:space="preserve">Karim Hassan </t>
  </si>
  <si>
    <t>Mery Chirac</t>
  </si>
  <si>
    <t>Celine Dion</t>
  </si>
  <si>
    <t>Sandra Irozak</t>
  </si>
  <si>
    <t>Emma Chantal</t>
  </si>
  <si>
    <t>Kriten Gabriel</t>
  </si>
  <si>
    <t>Angela Mufazé</t>
  </si>
  <si>
    <t>Caroline Fourest</t>
  </si>
  <si>
    <t>Jennifer Amiens</t>
  </si>
  <si>
    <t>Taylor Swif</t>
  </si>
  <si>
    <t>Clients</t>
  </si>
  <si>
    <t>Employés</t>
  </si>
  <si>
    <t>Karim Hassan</t>
  </si>
  <si>
    <t>h travaillées/sem</t>
  </si>
  <si>
    <r>
      <rPr>
        <sz val="72"/>
        <color theme="0" tint="-4.9989318521683403E-2"/>
        <rFont val="Calibri"/>
        <family val="2"/>
        <scheme val="minor"/>
      </rPr>
      <t>TABLEAU DE BORD</t>
    </r>
    <r>
      <rPr>
        <sz val="72"/>
        <color theme="1"/>
        <rFont val="Calibri"/>
        <family val="2"/>
        <scheme val="minor"/>
      </rPr>
      <t xml:space="preserve"> </t>
    </r>
  </si>
  <si>
    <t>Bienvenue dans votre outil de gestion personnalisée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</si>
</sst>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quot;$&quot;* #,##0.00_);_(&quot;$&quot;* \(#,##0.00\);_(&quot;$&quot;* &quot;-&quot;??_);_(@_)"/>
    <numFmt numFmtId="165" formatCode="[$-F800]dddd\,\ mmmm\ dd\,\ yyyy"/>
    <numFmt numFmtId="166" formatCode="#,##0.00\ [$$-C0C]"/>
    <numFmt numFmtId="167" formatCode="_-[$$-1009]* #,##0.00_-;\-[$$-1009]* #,##0.00_-;_-[$$-1009]* &quot;-&quot;??_-;_-@_-"/>
  </numFmts>
  <fonts count="32" x14ac:knownFonts="1">
    <font>
      <sz val="11"/>
      <color theme="1"/>
      <name val="Calibri"/>
      <family val="2"/>
      <scheme val="minor"/>
    </font>
    <font>
      <sz val="11"/>
      <color theme="1"/>
      <name val="Calibri"/>
      <family val="2"/>
      <scheme val="minor"/>
    </font>
    <font>
      <sz val="10"/>
      <color rgb="FF000000"/>
      <name val="Arial"/>
      <family val="2"/>
    </font>
    <font>
      <i/>
      <sz val="72"/>
      <color rgb="FF7030A0"/>
      <name val="Calibri"/>
      <family val="2"/>
      <scheme val="minor"/>
    </font>
    <font>
      <i/>
      <sz val="11"/>
      <color rgb="FF002060"/>
      <name val="Calibri"/>
      <family val="2"/>
      <scheme val="minor"/>
    </font>
    <font>
      <sz val="8"/>
      <name val="Calibri"/>
      <family val="2"/>
      <scheme val="minor"/>
    </font>
    <font>
      <sz val="10"/>
      <name val="Roboto"/>
    </font>
    <font>
      <sz val="18"/>
      <color theme="1"/>
      <name val="Calibri"/>
      <family val="2"/>
      <scheme val="minor"/>
    </font>
    <font>
      <b/>
      <sz val="16"/>
      <color theme="0"/>
      <name val="Calibri"/>
      <family val="2"/>
      <scheme val="minor"/>
    </font>
    <font>
      <sz val="16"/>
      <color theme="1"/>
      <name val="Calibri"/>
      <family val="2"/>
      <scheme val="minor"/>
    </font>
    <font>
      <b/>
      <sz val="18"/>
      <color theme="0"/>
      <name val="Calibri"/>
      <family val="2"/>
      <scheme val="minor"/>
    </font>
    <font>
      <b/>
      <sz val="20"/>
      <color theme="0"/>
      <name val="Calibri"/>
      <family val="2"/>
      <scheme val="minor"/>
    </font>
    <font>
      <b/>
      <sz val="14"/>
      <color theme="1"/>
      <name val="Calibri"/>
      <family val="2"/>
      <scheme val="minor"/>
    </font>
    <font>
      <i/>
      <sz val="16"/>
      <color theme="1"/>
      <name val="Calibri"/>
      <family val="2"/>
      <scheme val="minor"/>
    </font>
    <font>
      <b/>
      <sz val="16"/>
      <color theme="1"/>
      <name val="Calibri"/>
      <family val="2"/>
      <scheme val="minor"/>
    </font>
    <font>
      <b/>
      <sz val="16"/>
      <name val="Calibri"/>
      <family val="2"/>
      <scheme val="minor"/>
    </font>
    <font>
      <b/>
      <sz val="18"/>
      <color theme="1"/>
      <name val="Calibri"/>
      <family val="2"/>
      <scheme val="minor"/>
    </font>
    <font>
      <sz val="18"/>
      <color rgb="FF002060"/>
      <name val="Calibri"/>
      <family val="2"/>
      <scheme val="minor"/>
    </font>
    <font>
      <i/>
      <sz val="14"/>
      <color rgb="FF002060"/>
      <name val="Calibri"/>
      <family val="2"/>
      <scheme val="minor"/>
    </font>
    <font>
      <b/>
      <i/>
      <sz val="16"/>
      <color theme="1"/>
      <name val="Calibri"/>
      <family val="2"/>
      <scheme val="minor"/>
    </font>
    <font>
      <sz val="16"/>
      <name val="Calibri"/>
      <family val="2"/>
      <scheme val="minor"/>
    </font>
    <font>
      <b/>
      <sz val="12"/>
      <name val="Calibri"/>
      <family val="2"/>
      <scheme val="minor"/>
    </font>
    <font>
      <b/>
      <i/>
      <sz val="14"/>
      <color theme="1"/>
      <name val="Calibri"/>
      <family val="2"/>
      <scheme val="minor"/>
    </font>
    <font>
      <b/>
      <i/>
      <sz val="14"/>
      <color rgb="FF00B050"/>
      <name val="Calibri"/>
      <family val="2"/>
      <scheme val="minor"/>
    </font>
    <font>
      <sz val="11"/>
      <color theme="0"/>
      <name val="Calibri"/>
      <family val="2"/>
      <scheme val="minor"/>
    </font>
    <font>
      <sz val="18"/>
      <color theme="0"/>
      <name val="Calibri"/>
      <family val="2"/>
      <scheme val="minor"/>
    </font>
    <font>
      <b/>
      <sz val="11"/>
      <color theme="1"/>
      <name val="Calibri"/>
      <family val="2"/>
      <scheme val="minor"/>
    </font>
    <font>
      <sz val="12"/>
      <color theme="0"/>
      <name val="Open Sans"/>
      <family val="2"/>
    </font>
    <font>
      <b/>
      <i/>
      <sz val="12"/>
      <color theme="0"/>
      <name val="Open Sans"/>
      <family val="2"/>
    </font>
    <font>
      <sz val="14"/>
      <color theme="0"/>
      <name val="Calibri"/>
      <family val="2"/>
      <scheme val="minor"/>
    </font>
    <font>
      <sz val="72"/>
      <color theme="1"/>
      <name val="Calibri"/>
      <family val="2"/>
      <scheme val="minor"/>
    </font>
    <font>
      <sz val="72"/>
      <color theme="0" tint="-4.9989318521683403E-2"/>
      <name val="Calibri"/>
      <family val="2"/>
      <scheme val="minor"/>
    </font>
  </fonts>
  <fills count="8">
    <fill>
      <patternFill patternType="none"/>
    </fill>
    <fill>
      <patternFill patternType="gray125"/>
    </fill>
    <fill>
      <patternFill patternType="solid">
        <fgColor rgb="FF00B050"/>
        <bgColor indexed="64"/>
      </patternFill>
    </fill>
    <fill>
      <patternFill patternType="solid">
        <fgColor theme="0"/>
        <bgColor indexed="64"/>
      </patternFill>
    </fill>
    <fill>
      <patternFill patternType="solid">
        <fgColor theme="9" tint="0.79998168889431442"/>
        <bgColor indexed="64"/>
      </patternFill>
    </fill>
    <fill>
      <patternFill patternType="solid">
        <fgColor theme="0"/>
        <bgColor rgb="FF0D83DD"/>
      </patternFill>
    </fill>
    <fill>
      <patternFill patternType="solid">
        <fgColor rgb="FF77BC13"/>
        <bgColor indexed="64"/>
      </patternFill>
    </fill>
    <fill>
      <patternFill patternType="solid">
        <fgColor rgb="FF0070C0"/>
        <bgColor indexed="64"/>
      </patternFill>
    </fill>
  </fills>
  <borders count="15">
    <border>
      <left/>
      <right/>
      <top/>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rgb="FF00B050"/>
      </right>
      <top/>
      <bottom/>
      <diagonal/>
    </border>
    <border>
      <left/>
      <right style="medium">
        <color indexed="64"/>
      </right>
      <top/>
      <bottom/>
      <diagonal/>
    </border>
    <border>
      <left style="medium">
        <color indexed="64"/>
      </left>
      <right style="medium">
        <color indexed="64"/>
      </right>
      <top/>
      <bottom style="thin">
        <color indexed="64"/>
      </bottom>
      <diagonal/>
    </border>
    <border>
      <left/>
      <right style="medium">
        <color indexed="64"/>
      </right>
      <top/>
      <bottom style="medium">
        <color indexed="64"/>
      </bottom>
      <diagonal/>
    </border>
    <border>
      <left/>
      <right/>
      <top style="medium">
        <color indexed="64"/>
      </top>
      <bottom style="medium">
        <color indexed="64"/>
      </bottom>
      <diagonal/>
    </border>
  </borders>
  <cellStyleXfs count="3">
    <xf numFmtId="0" fontId="0" fillId="0" borderId="0"/>
    <xf numFmtId="0" fontId="2" fillId="0" borderId="0"/>
    <xf numFmtId="164" fontId="1" fillId="0" borderId="0" applyFont="0" applyFill="0" applyBorder="0" applyAlignment="0" applyProtection="0"/>
  </cellStyleXfs>
  <cellXfs count="98">
    <xf numFmtId="0" fontId="0" fillId="0" borderId="0" xfId="0"/>
    <xf numFmtId="164" fontId="0" fillId="0" borderId="0" xfId="0" applyNumberFormat="1"/>
    <xf numFmtId="0" fontId="4" fillId="0" borderId="0" xfId="0" applyFont="1"/>
    <xf numFmtId="14" fontId="0" fillId="0" borderId="0" xfId="0" applyNumberFormat="1"/>
    <xf numFmtId="0" fontId="7" fillId="0" borderId="0" xfId="0" applyFont="1"/>
    <xf numFmtId="0" fontId="9" fillId="0" borderId="0" xfId="0" applyFont="1"/>
    <xf numFmtId="0" fontId="18" fillId="0" borderId="4" xfId="0" applyFont="1" applyBorder="1"/>
    <xf numFmtId="0" fontId="18" fillId="0" borderId="1" xfId="0" applyFont="1" applyBorder="1"/>
    <xf numFmtId="0" fontId="18" fillId="0" borderId="5" xfId="0" applyFont="1" applyBorder="1"/>
    <xf numFmtId="0" fontId="14" fillId="0" borderId="0" xfId="0" applyFont="1"/>
    <xf numFmtId="16" fontId="14" fillId="0" borderId="0" xfId="0" applyNumberFormat="1" applyFont="1"/>
    <xf numFmtId="165" fontId="19" fillId="0" borderId="0" xfId="0" applyNumberFormat="1" applyFont="1"/>
    <xf numFmtId="164" fontId="8" fillId="2" borderId="0" xfId="0" applyNumberFormat="1" applyFont="1" applyFill="1"/>
    <xf numFmtId="14" fontId="9" fillId="0" borderId="2" xfId="0" applyNumberFormat="1" applyFont="1" applyBorder="1" applyAlignment="1">
      <alignment horizontal="center"/>
    </xf>
    <xf numFmtId="0" fontId="20" fillId="3" borderId="6" xfId="0" applyFont="1" applyFill="1" applyBorder="1" applyAlignment="1">
      <alignment horizontal="center"/>
    </xf>
    <xf numFmtId="0" fontId="20" fillId="3" borderId="3" xfId="0" applyFont="1" applyFill="1" applyBorder="1" applyAlignment="1">
      <alignment horizontal="center"/>
    </xf>
    <xf numFmtId="0" fontId="13" fillId="3" borderId="0" xfId="0" applyFont="1" applyFill="1"/>
    <xf numFmtId="164" fontId="14" fillId="3" borderId="0" xfId="2" applyFont="1" applyFill="1" applyBorder="1"/>
    <xf numFmtId="164" fontId="15" fillId="3" borderId="0" xfId="2" applyFont="1" applyFill="1" applyBorder="1"/>
    <xf numFmtId="0" fontId="17" fillId="3" borderId="2" xfId="0" applyFont="1" applyFill="1" applyBorder="1"/>
    <xf numFmtId="164" fontId="7" fillId="3" borderId="2" xfId="2" applyFont="1" applyFill="1" applyBorder="1"/>
    <xf numFmtId="0" fontId="7" fillId="3" borderId="4" xfId="0" applyFont="1" applyFill="1" applyBorder="1"/>
    <xf numFmtId="0" fontId="17" fillId="3" borderId="6" xfId="0" applyFont="1" applyFill="1" applyBorder="1"/>
    <xf numFmtId="164" fontId="7" fillId="3" borderId="6" xfId="2" applyFont="1" applyFill="1" applyBorder="1"/>
    <xf numFmtId="0" fontId="7" fillId="3" borderId="1" xfId="0" applyFont="1" applyFill="1" applyBorder="1"/>
    <xf numFmtId="0" fontId="17" fillId="3" borderId="3" xfId="0" applyFont="1" applyFill="1" applyBorder="1"/>
    <xf numFmtId="164" fontId="7" fillId="3" borderId="3" xfId="2" applyFont="1" applyFill="1" applyBorder="1"/>
    <xf numFmtId="0" fontId="7" fillId="3" borderId="5" xfId="0" applyFont="1" applyFill="1" applyBorder="1"/>
    <xf numFmtId="164" fontId="21" fillId="4" borderId="2" xfId="0" applyNumberFormat="1" applyFont="1" applyFill="1" applyBorder="1"/>
    <xf numFmtId="0" fontId="21" fillId="4" borderId="6" xfId="0" applyFont="1" applyFill="1" applyBorder="1"/>
    <xf numFmtId="9" fontId="21" fillId="4" borderId="6" xfId="0" applyNumberFormat="1" applyFont="1" applyFill="1" applyBorder="1" applyAlignment="1">
      <alignment horizontal="center"/>
    </xf>
    <xf numFmtId="164" fontId="21" fillId="4" borderId="3" xfId="0" applyNumberFormat="1" applyFont="1" applyFill="1" applyBorder="1"/>
    <xf numFmtId="0" fontId="12" fillId="0" borderId="0" xfId="0" applyFont="1" applyAlignment="1">
      <alignment horizontal="right"/>
    </xf>
    <xf numFmtId="0" fontId="23" fillId="0" borderId="0" xfId="0" applyFont="1"/>
    <xf numFmtId="14" fontId="20" fillId="3" borderId="6" xfId="0" applyNumberFormat="1" applyFont="1" applyFill="1" applyBorder="1" applyAlignment="1">
      <alignment horizontal="center"/>
    </xf>
    <xf numFmtId="1" fontId="9" fillId="0" borderId="2" xfId="0" applyNumberFormat="1" applyFont="1" applyBorder="1" applyAlignment="1">
      <alignment horizontal="center"/>
    </xf>
    <xf numFmtId="1" fontId="20" fillId="3" borderId="6" xfId="0" applyNumberFormat="1" applyFont="1" applyFill="1" applyBorder="1" applyAlignment="1">
      <alignment horizontal="center"/>
    </xf>
    <xf numFmtId="14" fontId="20" fillId="3" borderId="3" xfId="0" applyNumberFormat="1" applyFont="1" applyFill="1" applyBorder="1" applyAlignment="1">
      <alignment horizontal="center"/>
    </xf>
    <xf numFmtId="1" fontId="20" fillId="3" borderId="3" xfId="0" applyNumberFormat="1" applyFont="1" applyFill="1" applyBorder="1" applyAlignment="1">
      <alignment horizontal="center"/>
    </xf>
    <xf numFmtId="1" fontId="0" fillId="0" borderId="0" xfId="0" applyNumberFormat="1"/>
    <xf numFmtId="164" fontId="15" fillId="3" borderId="0" xfId="2" applyFont="1" applyFill="1"/>
    <xf numFmtId="166" fontId="0" fillId="0" borderId="0" xfId="0" applyNumberFormat="1" applyAlignment="1">
      <alignment horizontal="center"/>
    </xf>
    <xf numFmtId="167" fontId="7" fillId="3" borderId="2" xfId="2" applyNumberFormat="1" applyFont="1" applyFill="1" applyBorder="1"/>
    <xf numFmtId="167" fontId="20" fillId="3" borderId="6" xfId="0" applyNumberFormat="1" applyFont="1" applyFill="1" applyBorder="1" applyAlignment="1">
      <alignment horizontal="center"/>
    </xf>
    <xf numFmtId="14" fontId="20" fillId="3" borderId="11" xfId="0" applyNumberFormat="1" applyFont="1" applyFill="1" applyBorder="1" applyAlignment="1">
      <alignment horizontal="center"/>
    </xf>
    <xf numFmtId="0" fontId="20" fillId="3" borderId="1" xfId="0" applyFont="1" applyFill="1" applyBorder="1" applyAlignment="1">
      <alignment horizontal="center"/>
    </xf>
    <xf numFmtId="0" fontId="26" fillId="0" borderId="0" xfId="0" applyFont="1"/>
    <xf numFmtId="164" fontId="20" fillId="3" borderId="6" xfId="2" applyFont="1" applyFill="1" applyBorder="1" applyAlignment="1">
      <alignment horizontal="center"/>
    </xf>
    <xf numFmtId="164" fontId="20" fillId="3" borderId="3" xfId="2" applyFont="1" applyFill="1" applyBorder="1" applyAlignment="1">
      <alignment horizontal="center"/>
    </xf>
    <xf numFmtId="1" fontId="20" fillId="3" borderId="12" xfId="0" applyNumberFormat="1" applyFont="1" applyFill="1" applyBorder="1" applyAlignment="1">
      <alignment horizontal="center"/>
    </xf>
    <xf numFmtId="0" fontId="0" fillId="6" borderId="0" xfId="0" applyFill="1"/>
    <xf numFmtId="0" fontId="25" fillId="6" borderId="0" xfId="0" applyFont="1" applyFill="1"/>
    <xf numFmtId="0" fontId="24" fillId="6" borderId="0" xfId="0" applyFont="1" applyFill="1"/>
    <xf numFmtId="0" fontId="16" fillId="6" borderId="2" xfId="0" applyFont="1" applyFill="1" applyBorder="1" applyAlignment="1">
      <alignment horizontal="center"/>
    </xf>
    <xf numFmtId="0" fontId="7" fillId="6" borderId="6" xfId="0" applyFont="1" applyFill="1" applyBorder="1"/>
    <xf numFmtId="0" fontId="11" fillId="6" borderId="2" xfId="0" applyFont="1" applyFill="1" applyBorder="1" applyAlignment="1">
      <alignment horizontal="center"/>
    </xf>
    <xf numFmtId="0" fontId="11" fillId="6" borderId="11" xfId="0" applyFont="1" applyFill="1" applyBorder="1" applyAlignment="1">
      <alignment horizontal="center"/>
    </xf>
    <xf numFmtId="0" fontId="11" fillId="6" borderId="6" xfId="0" applyFont="1" applyFill="1" applyBorder="1" applyAlignment="1">
      <alignment horizontal="center"/>
    </xf>
    <xf numFmtId="166" fontId="11" fillId="6" borderId="6" xfId="0" applyNumberFormat="1" applyFont="1" applyFill="1" applyBorder="1" applyAlignment="1">
      <alignment horizontal="center"/>
    </xf>
    <xf numFmtId="0" fontId="11" fillId="6" borderId="1" xfId="0" applyFont="1" applyFill="1" applyBorder="1" applyAlignment="1">
      <alignment horizontal="center"/>
    </xf>
    <xf numFmtId="14" fontId="11" fillId="6" borderId="2" xfId="0" applyNumberFormat="1" applyFont="1" applyFill="1" applyBorder="1" applyAlignment="1">
      <alignment horizontal="center"/>
    </xf>
    <xf numFmtId="1" fontId="11" fillId="6" borderId="2" xfId="0" applyNumberFormat="1" applyFont="1" applyFill="1" applyBorder="1" applyAlignment="1">
      <alignment horizontal="center"/>
    </xf>
    <xf numFmtId="0" fontId="10" fillId="6" borderId="2" xfId="0" applyFont="1" applyFill="1" applyBorder="1"/>
    <xf numFmtId="0" fontId="10" fillId="6" borderId="6" xfId="0" applyFont="1" applyFill="1" applyBorder="1"/>
    <xf numFmtId="0" fontId="10" fillId="6" borderId="3" xfId="0" applyFont="1" applyFill="1" applyBorder="1"/>
    <xf numFmtId="0" fontId="10" fillId="6" borderId="9" xfId="0" applyFont="1" applyFill="1" applyBorder="1" applyAlignment="1">
      <alignment horizontal="center"/>
    </xf>
    <xf numFmtId="0" fontId="10" fillId="6" borderId="7" xfId="0" applyFont="1" applyFill="1" applyBorder="1" applyAlignment="1">
      <alignment horizontal="center"/>
    </xf>
    <xf numFmtId="0" fontId="10" fillId="6" borderId="8" xfId="0" applyFont="1" applyFill="1" applyBorder="1" applyAlignment="1">
      <alignment horizontal="center"/>
    </xf>
    <xf numFmtId="0" fontId="0" fillId="7" borderId="0" xfId="0" applyFill="1"/>
    <xf numFmtId="0" fontId="29" fillId="7" borderId="7" xfId="0" applyFont="1" applyFill="1" applyBorder="1"/>
    <xf numFmtId="0" fontId="29" fillId="7" borderId="8" xfId="0" applyFont="1" applyFill="1" applyBorder="1" applyAlignment="1">
      <alignment horizontal="center"/>
    </xf>
    <xf numFmtId="0" fontId="29" fillId="7" borderId="14" xfId="0" applyFont="1" applyFill="1" applyBorder="1" applyAlignment="1">
      <alignment horizontal="center"/>
    </xf>
    <xf numFmtId="0" fontId="29" fillId="7" borderId="3" xfId="0" applyFont="1" applyFill="1" applyBorder="1" applyAlignment="1">
      <alignment horizontal="left"/>
    </xf>
    <xf numFmtId="0" fontId="29" fillId="7" borderId="13" xfId="0" applyFont="1" applyFill="1" applyBorder="1"/>
    <xf numFmtId="0" fontId="29" fillId="7" borderId="7" xfId="0" applyFont="1" applyFill="1" applyBorder="1" applyAlignment="1">
      <alignment horizontal="left"/>
    </xf>
    <xf numFmtId="0" fontId="29" fillId="7" borderId="3" xfId="0" applyFont="1" applyFill="1" applyBorder="1" applyAlignment="1">
      <alignment horizontal="center"/>
    </xf>
    <xf numFmtId="0" fontId="24" fillId="7" borderId="0" xfId="0" applyFont="1" applyFill="1"/>
    <xf numFmtId="0" fontId="29" fillId="7" borderId="6" xfId="0" applyFont="1" applyFill="1" applyBorder="1" applyAlignment="1">
      <alignment horizontal="left"/>
    </xf>
    <xf numFmtId="0" fontId="29" fillId="7" borderId="11" xfId="0" applyFont="1" applyFill="1" applyBorder="1"/>
    <xf numFmtId="0" fontId="29" fillId="7" borderId="2" xfId="0" applyFont="1" applyFill="1" applyBorder="1" applyAlignment="1">
      <alignment horizontal="left"/>
    </xf>
    <xf numFmtId="0" fontId="29" fillId="7" borderId="2" xfId="0" applyFont="1" applyFill="1" applyBorder="1" applyAlignment="1">
      <alignment horizontal="center"/>
    </xf>
    <xf numFmtId="0" fontId="29" fillId="7" borderId="6" xfId="0" applyFont="1" applyFill="1" applyBorder="1" applyAlignment="1">
      <alignment horizontal="center"/>
    </xf>
    <xf numFmtId="0" fontId="29" fillId="7" borderId="8" xfId="0" applyFont="1" applyFill="1" applyBorder="1"/>
    <xf numFmtId="0" fontId="29" fillId="7" borderId="7" xfId="0" applyFont="1" applyFill="1" applyBorder="1" applyAlignment="1">
      <alignment horizontal="center"/>
    </xf>
    <xf numFmtId="0" fontId="29" fillId="7" borderId="13" xfId="0" applyFont="1" applyFill="1" applyBorder="1" applyAlignment="1">
      <alignment horizontal="center"/>
    </xf>
    <xf numFmtId="0" fontId="29" fillId="7" borderId="11" xfId="0" applyFont="1" applyFill="1" applyBorder="1" applyAlignment="1">
      <alignment horizontal="center"/>
    </xf>
    <xf numFmtId="0" fontId="0" fillId="6" borderId="0" xfId="0" applyFill="1"/>
    <xf numFmtId="0" fontId="3" fillId="6" borderId="0" xfId="0" applyFont="1" applyFill="1" applyAlignment="1">
      <alignment horizontal="center" vertical="center"/>
    </xf>
    <xf numFmtId="0" fontId="28" fillId="6" borderId="0" xfId="0" applyFont="1" applyFill="1"/>
    <xf numFmtId="0" fontId="28" fillId="6" borderId="10" xfId="0" applyFont="1" applyFill="1" applyBorder="1"/>
    <xf numFmtId="0" fontId="27" fillId="6" borderId="0" xfId="0" applyFont="1" applyFill="1"/>
    <xf numFmtId="0" fontId="27" fillId="6" borderId="10" xfId="0" applyFont="1" applyFill="1" applyBorder="1"/>
    <xf numFmtId="0" fontId="30" fillId="7" borderId="0" xfId="0" applyFont="1" applyFill="1" applyAlignment="1">
      <alignment horizontal="center" vertical="top"/>
    </xf>
    <xf numFmtId="0" fontId="0" fillId="7" borderId="0" xfId="0" applyFill="1" applyAlignment="1">
      <alignment horizontal="center" vertical="top"/>
    </xf>
    <xf numFmtId="0" fontId="6" fillId="5" borderId="0" xfId="0" applyFont="1" applyFill="1"/>
    <xf numFmtId="0" fontId="9" fillId="0" borderId="0" xfId="0" applyFont="1"/>
    <xf numFmtId="0" fontId="0" fillId="0" borderId="0" xfId="0"/>
    <xf numFmtId="0" fontId="22" fillId="0" borderId="0" xfId="0" applyFont="1" applyAlignment="1">
      <alignment horizontal="center"/>
    </xf>
  </cellXfs>
  <cellStyles count="3">
    <cellStyle name="Currency" xfId="2" builtinId="4"/>
    <cellStyle name="Normal" xfId="0" builtinId="0"/>
    <cellStyle name="Normal 2" xfId="1" xr:uid="{4A47FE88-98DC-4753-811B-C393899092CD}"/>
  </cellStyles>
  <dxfs count="122">
    <dxf>
      <font>
        <b val="0"/>
        <i val="0"/>
        <strike val="0"/>
        <condense val="0"/>
        <extend val="0"/>
        <outline val="0"/>
        <shadow val="0"/>
        <u val="none"/>
        <vertAlign val="baseline"/>
        <sz val="16"/>
        <color auto="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auto="1"/>
        <name val="Calibri"/>
        <family val="2"/>
        <scheme val="minor"/>
      </font>
      <numFmt numFmtId="167" formatCode="_-[$$-1009]* #,##0.00_-;\-[$$-1009]* #,##0.00_-;_-[$$-1009]* &quot;-&quot;??_-;_-@_-"/>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6"/>
        <color auto="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6"/>
        <color auto="1"/>
        <name val="Calibri"/>
        <family val="2"/>
        <scheme val="minor"/>
      </font>
      <numFmt numFmtId="19" formatCode="yyyy/mm/dd"/>
      <fill>
        <patternFill patternType="solid">
          <fgColor indexed="64"/>
          <bgColor theme="0"/>
        </patternFill>
      </fill>
      <alignment horizontal="center" vertical="bottom" textRotation="0" wrapText="0" indent="0" justifyLastLine="0" shrinkToFit="0" readingOrder="0"/>
      <border diagonalUp="0" diagonalDown="0">
        <left/>
        <right style="medium">
          <color indexed="64"/>
        </right>
        <top/>
        <bottom/>
        <vertical/>
        <horizontal/>
      </border>
    </dxf>
    <dxf>
      <border outline="0">
        <left style="medium">
          <color indexed="64"/>
        </left>
        <right style="medium">
          <color indexed="64"/>
        </right>
        <top style="medium">
          <color indexed="64"/>
        </top>
      </border>
    </dxf>
    <dxf>
      <font>
        <b/>
        <i val="0"/>
        <strike val="0"/>
        <condense val="0"/>
        <extend val="0"/>
        <outline val="0"/>
        <shadow val="0"/>
        <u val="none"/>
        <vertAlign val="baseline"/>
        <sz val="20"/>
        <color theme="0"/>
        <name val="Calibri"/>
        <family val="2"/>
        <scheme val="minor"/>
      </font>
      <fill>
        <patternFill patternType="solid">
          <fgColor indexed="64"/>
          <bgColor rgb="FF77BC13"/>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strike val="0"/>
        <outline val="0"/>
        <shadow val="0"/>
        <u val="none"/>
        <vertAlign val="baseline"/>
        <sz val="18"/>
        <color theme="1"/>
        <name val="Calibri"/>
        <family val="2"/>
        <scheme val="minor"/>
      </font>
      <numFmt numFmtId="0" formatCode="General"/>
      <fill>
        <patternFill patternType="solid">
          <fgColor indexed="64"/>
          <bgColor rgb="FF77BC13"/>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strike val="0"/>
        <outline val="0"/>
        <shadow val="0"/>
        <u val="none"/>
        <vertAlign val="baseline"/>
        <sz val="18"/>
        <color theme="1"/>
        <name val="Calibri"/>
        <family val="2"/>
        <scheme val="minor"/>
      </font>
      <fill>
        <patternFill patternType="solid">
          <fgColor indexed="64"/>
          <bgColor rgb="FF77BC13"/>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strike val="0"/>
        <outline val="0"/>
        <shadow val="0"/>
        <u val="none"/>
        <vertAlign val="baseline"/>
        <sz val="18"/>
        <color theme="1"/>
        <name val="Calibri"/>
        <family val="2"/>
        <scheme val="minor"/>
      </font>
      <fill>
        <patternFill patternType="solid">
          <fgColor indexed="64"/>
          <bgColor rgb="FF77BC13"/>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strike val="0"/>
        <outline val="0"/>
        <shadow val="0"/>
        <u val="none"/>
        <vertAlign val="baseline"/>
        <sz val="18"/>
        <name val="Calibri"/>
        <family val="2"/>
        <scheme val="minor"/>
      </font>
      <fill>
        <patternFill patternType="solid">
          <fgColor indexed="64"/>
          <bgColor rgb="FF77BC13"/>
        </patternFill>
      </fill>
      <border diagonalUp="0" diagonalDown="0" outline="0">
        <left/>
        <right style="medium">
          <color indexed="64"/>
        </right>
        <top/>
        <bottom/>
      </border>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sz val="18"/>
        <name val="Calibri"/>
        <family val="2"/>
        <scheme val="minor"/>
      </font>
      <fill>
        <patternFill patternType="solid">
          <fgColor indexed="64"/>
          <bgColor rgb="FF77BC13"/>
        </patternFill>
      </fill>
    </dxf>
    <dxf>
      <font>
        <b/>
        <strike val="0"/>
        <outline val="0"/>
        <shadow val="0"/>
        <u val="none"/>
        <vertAlign val="baseline"/>
        <sz val="18"/>
        <color theme="1"/>
        <name val="Calibri"/>
        <family val="2"/>
        <scheme val="minor"/>
      </font>
      <fill>
        <patternFill patternType="solid">
          <fgColor indexed="64"/>
          <bgColor rgb="FF77BC13"/>
        </patternFill>
      </fill>
      <alignment horizontal="center" vertical="bottom" textRotation="0" wrapText="0" indent="0" justifyLastLine="0" shrinkToFit="0" readingOrder="0"/>
    </dxf>
    <dxf>
      <font>
        <b/>
        <i val="0"/>
        <strike val="0"/>
        <condense val="0"/>
        <extend val="0"/>
        <outline val="0"/>
        <shadow val="0"/>
        <u val="none"/>
        <vertAlign val="baseline"/>
        <sz val="16"/>
        <color auto="1"/>
        <name val="Calibri"/>
        <family val="2"/>
        <scheme val="minor"/>
      </font>
      <fill>
        <patternFill patternType="solid">
          <fgColor indexed="64"/>
          <bgColor theme="0"/>
        </patternFill>
      </fill>
    </dxf>
    <dxf>
      <font>
        <b val="0"/>
        <i/>
        <strike val="0"/>
        <condense val="0"/>
        <extend val="0"/>
        <outline val="0"/>
        <shadow val="0"/>
        <u val="none"/>
        <vertAlign val="baseline"/>
        <sz val="16"/>
        <color theme="1"/>
        <name val="Calibri"/>
        <family val="2"/>
        <scheme val="minor"/>
      </font>
      <fill>
        <patternFill patternType="solid">
          <fgColor indexed="64"/>
          <bgColor theme="0"/>
        </patternFill>
      </fill>
      <border outline="0">
        <left style="medium">
          <color indexed="64"/>
        </left>
      </border>
    </dxf>
    <dxf>
      <font>
        <b/>
        <i val="0"/>
        <strike val="0"/>
        <condense val="0"/>
        <extend val="0"/>
        <outline val="0"/>
        <shadow val="0"/>
        <u val="none"/>
        <vertAlign val="baseline"/>
        <sz val="18"/>
        <color theme="0"/>
        <name val="Calibri"/>
        <family val="2"/>
        <scheme val="minor"/>
      </font>
      <fill>
        <patternFill patternType="solid">
          <fgColor indexed="64"/>
          <bgColor rgb="FF77BC13"/>
        </patternFill>
      </fill>
      <border diagonalUp="0" diagonalDown="0" outline="0">
        <left style="medium">
          <color indexed="64"/>
        </left>
        <right style="medium">
          <color indexed="64"/>
        </right>
      </border>
    </dxf>
    <dxf>
      <border outline="0">
        <left style="medium">
          <color indexed="64"/>
        </left>
        <top style="medium">
          <color indexed="64"/>
        </top>
      </border>
    </dxf>
    <dxf>
      <border>
        <bottom style="medium">
          <color indexed="64"/>
        </bottom>
      </border>
    </dxf>
    <dxf>
      <fill>
        <patternFill patternType="solid">
          <fgColor indexed="64"/>
          <bgColor rgb="FF77BC13"/>
        </patternFill>
      </fill>
      <border diagonalUp="0" diagonalDown="0" outline="0">
        <left/>
        <right/>
        <top/>
        <bottom/>
      </border>
    </dxf>
    <dxf>
      <font>
        <color theme="0"/>
      </font>
    </dxf>
    <dxf>
      <font>
        <color theme="0"/>
      </font>
    </dxf>
    <dxf>
      <font>
        <color theme="0"/>
      </font>
    </dxf>
    <dxf>
      <font>
        <color theme="0"/>
      </font>
    </dxf>
    <dxf>
      <font>
        <color theme="0"/>
      </font>
    </dxf>
    <dxf>
      <font>
        <color theme="0"/>
      </font>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border>
        <bottom style="medium">
          <color indexed="64"/>
        </bottom>
      </border>
    </dxf>
    <dxf>
      <border>
        <bottom style="medium">
          <color indexed="64"/>
        </bottom>
      </border>
    </dxf>
    <dxf>
      <border>
        <top style="medium">
          <color indexed="64"/>
        </top>
        <bottom style="medium">
          <color indexed="64"/>
        </bottom>
      </border>
    </dxf>
    <dxf>
      <border>
        <top style="medium">
          <color indexed="64"/>
        </top>
        <bottom style="medium">
          <color indexed="64"/>
        </bottom>
      </border>
    </dxf>
    <dxf>
      <border>
        <top style="medium">
          <color indexed="64"/>
        </top>
        <bottom style="medium">
          <color indexed="64"/>
        </bottom>
      </border>
    </dxf>
    <dxf>
      <border>
        <top style="medium">
          <color indexed="64"/>
        </top>
        <bottom style="medium">
          <color indexed="64"/>
        </bottom>
      </border>
    </dxf>
    <dxf>
      <border>
        <top style="medium">
          <color indexed="64"/>
        </top>
        <bottom style="medium">
          <color indexed="64"/>
        </bottom>
      </border>
    </dxf>
    <dxf>
      <border>
        <top style="medium">
          <color indexed="64"/>
        </top>
        <bottom style="medium">
          <color indexed="64"/>
        </bottom>
      </border>
    </dxf>
    <dxf>
      <font>
        <sz val="14"/>
      </font>
    </dxf>
    <dxf>
      <font>
        <sz val="14"/>
      </font>
    </dxf>
    <dxf>
      <font>
        <sz val="14"/>
      </font>
    </dxf>
    <dxf>
      <font>
        <sz val="14"/>
      </font>
    </dxf>
    <dxf>
      <font>
        <sz val="14"/>
      </font>
    </dxf>
    <dxf>
      <font>
        <sz val="14"/>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color theme="0"/>
      </font>
    </dxf>
    <dxf>
      <font>
        <color theme="0"/>
      </font>
    </dxf>
    <dxf>
      <fill>
        <patternFill patternType="solid">
          <bgColor rgb="FF77BC13"/>
        </patternFill>
      </fill>
    </dxf>
    <dxf>
      <fill>
        <patternFill patternType="solid">
          <bgColor rgb="FF77BC13"/>
        </patternFill>
      </fill>
    </dxf>
    <dxf>
      <font>
        <color theme="0"/>
      </font>
    </dxf>
    <dxf>
      <font>
        <color theme="0"/>
      </font>
    </dxf>
    <dxf>
      <fill>
        <patternFill patternType="solid">
          <bgColor rgb="FF77BC13"/>
        </patternFill>
      </fill>
    </dxf>
    <dxf>
      <fill>
        <patternFill patternType="solid">
          <bgColor rgb="FF77BC13"/>
        </patternFill>
      </fill>
    </dxf>
    <dxf>
      <font>
        <color theme="0"/>
      </font>
    </dxf>
    <dxf>
      <font>
        <color theme="0"/>
      </font>
    </dxf>
    <dxf>
      <font>
        <color theme="0"/>
      </font>
    </dxf>
    <dxf>
      <font>
        <color theme="0"/>
      </font>
    </dxf>
    <dxf>
      <font>
        <color theme="0"/>
      </font>
    </dxf>
    <dxf>
      <font>
        <color theme="0"/>
      </font>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border>
        <right style="medium">
          <color indexed="64"/>
        </right>
        <bottom style="medium">
          <color indexed="64"/>
        </bottom>
      </border>
    </dxf>
    <dxf>
      <border>
        <right style="medium">
          <color indexed="64"/>
        </right>
        <top style="medium">
          <color indexed="64"/>
        </top>
        <bottom style="medium">
          <color indexed="64"/>
        </bottom>
      </border>
    </dxf>
    <dxf>
      <font>
        <sz val="14"/>
      </font>
    </dxf>
    <dxf>
      <font>
        <sz val="14"/>
      </font>
    </dxf>
    <dxf>
      <font>
        <sz val="14"/>
      </font>
    </dxf>
    <dxf>
      <font>
        <sz val="14"/>
      </font>
    </dxf>
    <dxf>
      <font>
        <sz val="14"/>
      </font>
    </dxf>
    <dxf>
      <font>
        <sz val="14"/>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color theme="0"/>
      </font>
    </dxf>
    <dxf>
      <font>
        <color theme="0"/>
      </font>
    </dxf>
    <dxf>
      <fill>
        <patternFill patternType="solid">
          <bgColor rgb="FF77BC13"/>
        </patternFill>
      </fill>
    </dxf>
    <dxf>
      <fill>
        <patternFill patternType="solid">
          <bgColor rgb="FF77BC13"/>
        </patternFill>
      </fill>
    </dxf>
    <dxf>
      <font>
        <color theme="0"/>
      </font>
    </dxf>
    <dxf>
      <font>
        <color theme="0"/>
      </font>
    </dxf>
    <dxf>
      <fill>
        <patternFill patternType="solid">
          <bgColor rgb="FF77BC13"/>
        </patternFill>
      </fill>
    </dxf>
    <dxf>
      <fill>
        <patternFill patternType="solid">
          <bgColor rgb="FF77BC13"/>
        </patternFill>
      </fill>
    </dxf>
    <dxf>
      <font>
        <color theme="0"/>
      </font>
    </dxf>
    <dxf>
      <font>
        <color theme="0"/>
      </font>
    </dxf>
    <dxf>
      <font>
        <color theme="0"/>
      </font>
    </dxf>
    <dxf>
      <font>
        <color theme="0"/>
      </font>
    </dxf>
    <dxf>
      <font>
        <color theme="0"/>
      </font>
    </dxf>
    <dxf>
      <font>
        <color theme="0"/>
      </font>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alignment horizontal="center"/>
    </dxf>
    <dxf>
      <border>
        <right style="medium">
          <color indexed="64"/>
        </right>
        <bottom style="medium">
          <color indexed="64"/>
        </bottom>
      </border>
    </dxf>
    <dxf>
      <border>
        <right style="medium">
          <color indexed="64"/>
        </right>
        <bottom style="medium">
          <color indexed="64"/>
        </bottom>
      </border>
    </dxf>
    <dxf>
      <border>
        <top style="medium">
          <color indexed="64"/>
        </top>
        <bottom style="medium">
          <color indexed="64"/>
        </bottom>
      </border>
    </dxf>
    <dxf>
      <border>
        <right style="medium">
          <color indexed="64"/>
        </right>
        <top style="medium">
          <color indexed="64"/>
        </top>
        <bottom style="medium">
          <color indexed="64"/>
        </bottom>
      </border>
    </dxf>
    <dxf>
      <alignment horizontal="center"/>
    </dxf>
    <dxf>
      <alignment horizontal="center"/>
    </dxf>
    <dxf>
      <font>
        <sz val="14"/>
      </font>
    </dxf>
    <dxf>
      <font>
        <sz val="14"/>
      </font>
    </dxf>
    <dxf>
      <font>
        <sz val="14"/>
      </font>
    </dxf>
    <dxf>
      <font>
        <sz val="14"/>
      </font>
    </dxf>
    <dxf>
      <font>
        <sz val="14"/>
      </font>
    </dxf>
    <dxf>
      <font>
        <sz val="14"/>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color theme="0"/>
      </font>
    </dxf>
    <dxf>
      <fill>
        <patternFill patternType="solid">
          <bgColor rgb="FF77BC13"/>
        </patternFill>
      </fill>
    </dxf>
    <dxf>
      <font>
        <color theme="0"/>
      </font>
    </dxf>
    <dxf>
      <font>
        <color theme="0"/>
      </font>
    </dxf>
    <dxf>
      <fill>
        <patternFill patternType="solid">
          <bgColor rgb="FF77BC13"/>
        </patternFill>
      </fill>
    </dxf>
    <dxf>
      <fill>
        <patternFill patternType="solid">
          <bgColor rgb="FF77BC13"/>
        </patternFill>
      </fill>
    </dxf>
    <dxf>
      <numFmt numFmtId="19" formatCode="yyyy/mm/dd"/>
    </dxf>
  </dxfs>
  <tableStyles count="0" defaultTableStyle="TableStyleMedium2" defaultPivotStyle="PivotStyleLight16"/>
  <colors>
    <mruColors>
      <color rgb="FF77BC1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4.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powerPivotData" Target="model/item.data"/><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11/relationships/timelineCache" Target="timelineCaches/timelineCache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pivotCacheDefinition" Target="pivotCache/pivotCacheDefinition5.xml"/><Relationship Id="rId23" Type="http://schemas.microsoft.com/office/2006/relationships/vbaProject" Target="vbaProject.bin"/><Relationship Id="rId10" Type="http://schemas.openxmlformats.org/officeDocument/2006/relationships/pivotCacheDefinition" Target="pivotCache/pivotCacheDefinition1.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[Planterra.xlsm]Tableau de bord!Tableau croisé dynamique2</c:name>
    <c:fmtId val="3"/>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solidFill>
                  <a:schemeClr val="bg1"/>
                </a:solidFill>
              </a:rPr>
              <a:t>Articles</a:t>
            </a:r>
            <a:r>
              <a:rPr lang="en-US" baseline="0">
                <a:solidFill>
                  <a:schemeClr val="bg1"/>
                </a:solidFill>
              </a:rPr>
              <a:t> </a:t>
            </a:r>
            <a:r>
              <a:rPr lang="en-US">
                <a:solidFill>
                  <a:schemeClr val="bg1"/>
                </a:solidFill>
              </a:rPr>
              <a:t>vendues </a:t>
            </a:r>
          </a:p>
        </c:rich>
      </c:tx>
      <c:layout>
        <c:manualLayout>
          <c:xMode val="edge"/>
          <c:yMode val="edge"/>
          <c:x val="0.28001452343273664"/>
          <c:y val="0.1006191543461044"/>
        </c:manualLayout>
      </c:layout>
      <c:overlay val="0"/>
      <c:spPr>
        <a:solidFill>
          <a:srgbClr val="77BC13"/>
        </a:solid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'Tableau de bord'!$B$11</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0F5F-47FE-B0BE-286B0E8C692B}"/>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DD0C-4490-8DE2-7ECCFD20E9E8}"/>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DD0C-4490-8DE2-7ECCFD20E9E8}"/>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DD0C-4490-8DE2-7ECCFD20E9E8}"/>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'Tableau de bord'!$A$12:$A$16</c:f>
              <c:strCache>
                <c:ptCount val="4"/>
                <c:pt idx="0">
                  <c:v>A101</c:v>
                </c:pt>
                <c:pt idx="1">
                  <c:v>A106</c:v>
                </c:pt>
                <c:pt idx="2">
                  <c:v>A109</c:v>
                </c:pt>
                <c:pt idx="3">
                  <c:v>A111</c:v>
                </c:pt>
              </c:strCache>
            </c:strRef>
          </c:cat>
          <c:val>
            <c:numRef>
              <c:f>'Tableau de bord'!$B$12:$B$16</c:f>
              <c:numCache>
                <c:formatCode>General</c:formatCode>
                <c:ptCount val="4"/>
                <c:pt idx="0">
                  <c:v>21</c:v>
                </c:pt>
                <c:pt idx="1">
                  <c:v>17</c:v>
                </c:pt>
                <c:pt idx="2">
                  <c:v>5</c:v>
                </c:pt>
                <c:pt idx="3">
                  <c:v>15</c:v>
                </c:pt>
              </c:numCache>
            </c:numRef>
          </c:val>
          <c:extLst>
            <c:ext xmlns:c16="http://schemas.microsoft.com/office/drawing/2014/chart" uri="{C3380CC4-5D6E-409C-BE32-E72D297353CC}">
              <c16:uniqueId val="{00000000-0F5F-47FE-B0BE-286B0E8C692B}"/>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rgbClr val="00B050"/>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77BC13"/>
    </a:solidFill>
    <a:ln w="9525" cap="flat" cmpd="sng" algn="ctr">
      <a:noFill/>
      <a:round/>
    </a:ln>
    <a:effectLst>
      <a:glow rad="139700">
        <a:schemeClr val="accent4">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[Planterra.xlsm]Tableau de bord!Tableau croisé dynamique3</c:name>
    <c:fmtId val="1"/>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rgbClr val="FFFF00"/>
          </a:solidFill>
          <a:ln w="19050">
            <a:solidFill>
              <a:srgbClr val="00B050"/>
            </a:solidFill>
          </a:ln>
          <a:effectLst/>
        </c:spPr>
        <c:marker>
          <c:symbol val="none"/>
        </c:marker>
        <c:dLbl>
          <c:idx val="0"/>
          <c:spPr>
            <a:solidFill>
              <a:srgbClr val="00B050"/>
            </a:solid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530251679705085"/>
          <c:y val="0.21746404506454237"/>
          <c:w val="0.71089302550773381"/>
          <c:h val="0.55706742797501185"/>
        </c:manualLayout>
      </c:layout>
      <c:barChart>
        <c:barDir val="col"/>
        <c:grouping val="clustered"/>
        <c:varyColors val="0"/>
        <c:ser>
          <c:idx val="0"/>
          <c:order val="0"/>
          <c:tx>
            <c:strRef>
              <c:f>'Tableau de bord'!$G$11</c:f>
              <c:strCache>
                <c:ptCount val="1"/>
                <c:pt idx="0">
                  <c:v>Total</c:v>
                </c:pt>
              </c:strCache>
            </c:strRef>
          </c:tx>
          <c:spPr>
            <a:solidFill>
              <a:srgbClr val="FFFF00"/>
            </a:solidFill>
            <a:ln w="19050">
              <a:solidFill>
                <a:srgbClr val="00B050"/>
              </a:solidFill>
            </a:ln>
            <a:effectLst/>
          </c:spPr>
          <c:invertIfNegative val="0"/>
          <c:dLbls>
            <c:spPr>
              <a:solidFill>
                <a:srgbClr val="00B050"/>
              </a:solid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'Tableau de bord'!$F$12:$F$17</c:f>
              <c:strCache>
                <c:ptCount val="5"/>
                <c:pt idx="0">
                  <c:v>Angela Mufazé</c:v>
                </c:pt>
                <c:pt idx="1">
                  <c:v>Caroline Fourest</c:v>
                </c:pt>
                <c:pt idx="2">
                  <c:v>Jennifer Amiens</c:v>
                </c:pt>
                <c:pt idx="3">
                  <c:v>Karim Hassan</c:v>
                </c:pt>
                <c:pt idx="4">
                  <c:v>Sandra Irozak</c:v>
                </c:pt>
              </c:strCache>
            </c:strRef>
          </c:cat>
          <c:val>
            <c:numRef>
              <c:f>'Tableau de bord'!$G$12:$G$17</c:f>
              <c:numCache>
                <c:formatCode>General</c:formatCode>
                <c:ptCount val="5"/>
                <c:pt idx="0">
                  <c:v>964.36</c:v>
                </c:pt>
                <c:pt idx="1">
                  <c:v>563.46</c:v>
                </c:pt>
                <c:pt idx="2">
                  <c:v>889.19</c:v>
                </c:pt>
                <c:pt idx="3">
                  <c:v>1031.3</c:v>
                </c:pt>
                <c:pt idx="4">
                  <c:v>1257.71</c:v>
                </c:pt>
              </c:numCache>
            </c:numRef>
          </c:val>
          <c:extLst>
            <c:ext xmlns:c16="http://schemas.microsoft.com/office/drawing/2014/chart" uri="{C3380CC4-5D6E-409C-BE32-E72D297353CC}">
              <c16:uniqueId val="{00000000-6520-40DB-B623-D7D9BFBC5DAA}"/>
            </c:ext>
          </c:extLst>
        </c:ser>
        <c:dLbls>
          <c:dLblPos val="outEnd"/>
          <c:showLegendKey val="0"/>
          <c:showVal val="1"/>
          <c:showCatName val="0"/>
          <c:showSerName val="0"/>
          <c:showPercent val="0"/>
          <c:showBubbleSize val="0"/>
        </c:dLbls>
        <c:gapWidth val="219"/>
        <c:overlap val="-27"/>
        <c:axId val="152954431"/>
        <c:axId val="152968351"/>
      </c:barChart>
      <c:catAx>
        <c:axId val="152954431"/>
        <c:scaling>
          <c:orientation val="minMax"/>
        </c:scaling>
        <c:delete val="0"/>
        <c:axPos val="b"/>
        <c:title>
          <c:tx>
            <c:rich>
              <a:bodyPr rot="0" spcFirstLastPara="1" vertOverflow="ellipsis" vert="horz" wrap="square" anchor="ctr" anchorCtr="1"/>
              <a:lstStyle/>
              <a:p>
                <a:pPr algn="ctr" rtl="0">
                  <a:defRPr lang="fr-CA" sz="1800" b="1" i="0" u="none" strike="noStrike" kern="1200" baseline="0">
                    <a:solidFill>
                      <a:schemeClr val="bg1"/>
                    </a:solidFill>
                    <a:latin typeface="+mn-lt"/>
                    <a:ea typeface="+mn-ea"/>
                    <a:cs typeface="+mn-cs"/>
                  </a:defRPr>
                </a:pPr>
                <a:r>
                  <a:rPr lang="fr-CA" sz="1800" b="1" i="0" u="none" strike="noStrike" kern="1200" baseline="0">
                    <a:solidFill>
                      <a:schemeClr val="bg1"/>
                    </a:solidFill>
                    <a:latin typeface="+mn-lt"/>
                    <a:ea typeface="+mn-ea"/>
                    <a:cs typeface="+mn-cs"/>
                  </a:rPr>
                  <a:t>Ventes totales en $ par client</a:t>
                </a:r>
              </a:p>
            </c:rich>
          </c:tx>
          <c:layout>
            <c:manualLayout>
              <c:xMode val="edge"/>
              <c:yMode val="edge"/>
              <c:x val="0.2984282502124157"/>
              <c:y val="6.4960548523999795E-2"/>
            </c:manualLayout>
          </c:layout>
          <c:overlay val="0"/>
          <c:spPr>
            <a:solidFill>
              <a:srgbClr val="77BC13"/>
            </a:solidFill>
            <a:ln>
              <a:noFill/>
            </a:ln>
            <a:effectLst/>
          </c:spPr>
          <c:txPr>
            <a:bodyPr rot="0" spcFirstLastPara="1" vertOverflow="ellipsis" vert="horz" wrap="square" anchor="ctr" anchorCtr="1"/>
            <a:lstStyle/>
            <a:p>
              <a:pPr algn="ctr" rtl="0">
                <a:defRPr lang="fr-CA" sz="1800" b="1"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n-US"/>
          </a:p>
        </c:txPr>
        <c:crossAx val="152968351"/>
        <c:crosses val="autoZero"/>
        <c:auto val="1"/>
        <c:lblAlgn val="ctr"/>
        <c:lblOffset val="100"/>
        <c:noMultiLvlLbl val="0"/>
      </c:catAx>
      <c:valAx>
        <c:axId val="1529683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52954431"/>
        <c:crosses val="autoZero"/>
        <c:crossBetween val="between"/>
      </c:valAx>
      <c:spPr>
        <a:solidFill>
          <a:schemeClr val="accent5">
            <a:lumMod val="20000"/>
            <a:lumOff val="80000"/>
          </a:schemeClr>
        </a:solidFill>
        <a:ln w="12700" cap="flat" cmpd="sng" algn="ctr">
          <a:solidFill>
            <a:srgbClr val="FFC000"/>
          </a:solidFill>
          <a:prstDash val="solid"/>
          <a:miter lim="800000"/>
        </a:ln>
        <a:effectLst>
          <a:glow rad="139700">
            <a:schemeClr val="accent6">
              <a:satMod val="175000"/>
              <a:alpha val="40000"/>
            </a:schemeClr>
          </a:glow>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77BC13"/>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[Planterra.xlsm]Tableau de bord!Tableau croisé dynamique1</c:name>
    <c:fmtId val="19"/>
  </c:pivotSource>
  <c:chart>
    <c:title>
      <c:tx>
        <c:rich>
          <a:bodyPr rot="0" spcFirstLastPara="1" vertOverflow="ellipsis" vert="horz" wrap="square" anchor="ctr" anchorCtr="1"/>
          <a:lstStyle/>
          <a:p>
            <a:pPr>
              <a:defRPr sz="1800" b="0" i="0" u="none" strike="noStrike" kern="1200" cap="none" spc="0" baseline="0">
                <a:ln w="0"/>
                <a:solidFill>
                  <a:schemeClr val="bg1"/>
                </a:solidFill>
                <a:effectLst>
                  <a:outerShdw blurRad="50800" dist="38100" dir="2700000" algn="tl" rotWithShape="0">
                    <a:prstClr val="black">
                      <a:alpha val="40000"/>
                    </a:prstClr>
                  </a:outerShdw>
                </a:effectLst>
                <a:latin typeface="+mn-lt"/>
                <a:ea typeface="+mn-ea"/>
                <a:cs typeface="+mn-cs"/>
              </a:defRPr>
            </a:pPr>
            <a:r>
              <a:rPr lang="fr-CA" sz="1600" b="1">
                <a:solidFill>
                  <a:schemeClr val="bg1"/>
                </a:solidFill>
              </a:rPr>
              <a:t>Rapport sur les heures de</a:t>
            </a:r>
            <a:r>
              <a:rPr lang="fr-CA" sz="1600" b="1" baseline="0">
                <a:solidFill>
                  <a:schemeClr val="bg1"/>
                </a:solidFill>
              </a:rPr>
              <a:t> </a:t>
            </a:r>
            <a:r>
              <a:rPr lang="fr-CA" sz="1600" b="1">
                <a:solidFill>
                  <a:schemeClr val="bg1"/>
                </a:solidFill>
              </a:rPr>
              <a:t>travail et les  salaires</a:t>
            </a:r>
          </a:p>
        </c:rich>
      </c:tx>
      <c:overlay val="0"/>
      <c:spPr>
        <a:solidFill>
          <a:srgbClr val="77BC13"/>
        </a:solidFill>
        <a:ln>
          <a:noFill/>
        </a:ln>
        <a:effectLst/>
      </c:spPr>
      <c:txPr>
        <a:bodyPr rot="0" spcFirstLastPara="1" vertOverflow="ellipsis" vert="horz" wrap="square" anchor="ctr" anchorCtr="1"/>
        <a:lstStyle/>
        <a:p>
          <a:pPr>
            <a:defRPr sz="1800" b="0" i="0" u="none" strike="noStrike" kern="1200" cap="none" spc="0" baseline="0">
              <a:ln w="0"/>
              <a:solidFill>
                <a:schemeClr val="bg1"/>
              </a:solidFill>
              <a:effectLst>
                <a:outerShdw blurRad="50800" dist="38100" dir="2700000" algn="tl" rotWithShape="0">
                  <a:prstClr val="black">
                    <a:alpha val="40000"/>
                  </a:prstClr>
                </a:outerShdw>
              </a:effectLst>
              <a:latin typeface="+mn-lt"/>
              <a:ea typeface="+mn-ea"/>
              <a:cs typeface="+mn-cs"/>
            </a:defRPr>
          </a:pPr>
          <a:endParaRPr lang="en-US"/>
        </a:p>
      </c:txPr>
    </c:title>
    <c:autoTitleDeleted val="0"/>
    <c:pivotFmts>
      <c:pivotFmt>
        <c:idx val="0"/>
        <c:spPr>
          <a:solidFill>
            <a:schemeClr val="accent1">
              <a:alpha val="85000"/>
            </a:schemeClr>
          </a:solidFill>
          <a:ln>
            <a:solidFill>
              <a:srgbClr val="0070C0"/>
            </a:solidFill>
          </a:ln>
          <a:effectLst>
            <a:innerShdw dist="127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accent1"/>
                  </a:solidFill>
                  <a:effectLst>
                    <a:outerShdw blurRad="50800" dist="38100" dir="2700000" algn="tl" rotWithShape="0">
                      <a:prstClr val="black">
                        <a:alpha val="40000"/>
                      </a:prst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C000"/>
          </a:solidFill>
          <a:ln>
            <a:noFill/>
          </a:ln>
          <a:effectLst>
            <a:innerShdw blurRad="114300">
              <a:prstClr val="black"/>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accent1"/>
                  </a:solidFill>
                  <a:effectLst>
                    <a:outerShdw blurRad="50800" dist="38100" dir="2700000" algn="tl" rotWithShape="0">
                      <a:prstClr val="black">
                        <a:alpha val="40000"/>
                      </a:prst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'Tableau de bord'!$D$11</c:f>
              <c:strCache>
                <c:ptCount val="1"/>
                <c:pt idx="0">
                  <c:v>h travaillées/sem</c:v>
                </c:pt>
              </c:strCache>
            </c:strRef>
          </c:tx>
          <c:spPr>
            <a:solidFill>
              <a:schemeClr val="accent1">
                <a:alpha val="85000"/>
              </a:schemeClr>
            </a:solidFill>
            <a:ln>
              <a:solidFill>
                <a:srgbClr val="0070C0"/>
              </a:solidFill>
            </a:ln>
            <a:effectLst>
              <a:innerShdw dist="12700" dir="16200000">
                <a:schemeClr val="lt1"/>
              </a:innerShdw>
            </a:effectLst>
          </c:spPr>
          <c:cat>
            <c:strRef>
              <c:f>'Tableau de bord'!$C$12:$C$22</c:f>
              <c:strCache>
                <c:ptCount val="10"/>
                <c:pt idx="0">
                  <c:v>Clair Mercier</c:v>
                </c:pt>
                <c:pt idx="1">
                  <c:v>Isabelle Rousseau</c:v>
                </c:pt>
                <c:pt idx="2">
                  <c:v>Jeanne Bernard</c:v>
                </c:pt>
                <c:pt idx="3">
                  <c:v>Julien Martinez</c:v>
                </c:pt>
                <c:pt idx="4">
                  <c:v>Marie Dupont</c:v>
                </c:pt>
                <c:pt idx="5">
                  <c:v>Nicolas Lambert</c:v>
                </c:pt>
                <c:pt idx="6">
                  <c:v>Pierre Dubois</c:v>
                </c:pt>
                <c:pt idx="7">
                  <c:v>Sandrine Moreau</c:v>
                </c:pt>
                <c:pt idx="8">
                  <c:v>Sophie Martin</c:v>
                </c:pt>
                <c:pt idx="9">
                  <c:v>Thomas Levebvre</c:v>
                </c:pt>
              </c:strCache>
            </c:strRef>
          </c:cat>
          <c:val>
            <c:numRef>
              <c:f>'Tableau de bord'!$D$12:$D$22</c:f>
              <c:numCache>
                <c:formatCode>General</c:formatCode>
                <c:ptCount val="10"/>
                <c:pt idx="0">
                  <c:v>38</c:v>
                </c:pt>
                <c:pt idx="1">
                  <c:v>40</c:v>
                </c:pt>
                <c:pt idx="2">
                  <c:v>40</c:v>
                </c:pt>
                <c:pt idx="3">
                  <c:v>40</c:v>
                </c:pt>
                <c:pt idx="4">
                  <c:v>40</c:v>
                </c:pt>
                <c:pt idx="5">
                  <c:v>30</c:v>
                </c:pt>
                <c:pt idx="6">
                  <c:v>40</c:v>
                </c:pt>
                <c:pt idx="7">
                  <c:v>40</c:v>
                </c:pt>
                <c:pt idx="8">
                  <c:v>40</c:v>
                </c:pt>
                <c:pt idx="9">
                  <c:v>40</c:v>
                </c:pt>
              </c:numCache>
            </c:numRef>
          </c:val>
          <c:extLst>
            <c:ext xmlns:c16="http://schemas.microsoft.com/office/drawing/2014/chart" uri="{C3380CC4-5D6E-409C-BE32-E72D297353CC}">
              <c16:uniqueId val="{00000000-41B0-4086-9685-AB2AD5CDE77E}"/>
            </c:ext>
          </c:extLst>
        </c:ser>
        <c:ser>
          <c:idx val="1"/>
          <c:order val="1"/>
          <c:tx>
            <c:strRef>
              <c:f>'Tableau de bord'!$E$11</c:f>
              <c:strCache>
                <c:ptCount val="1"/>
                <c:pt idx="0">
                  <c:v>Somme de Salaire</c:v>
                </c:pt>
              </c:strCache>
            </c:strRef>
          </c:tx>
          <c:spPr>
            <a:solidFill>
              <a:srgbClr val="FFC000"/>
            </a:solidFill>
            <a:ln>
              <a:noFill/>
            </a:ln>
            <a:effectLst>
              <a:innerShdw blurRad="114300">
                <a:prstClr val="black"/>
              </a:innerShdw>
            </a:effectLst>
          </c:spPr>
          <c:cat>
            <c:strRef>
              <c:f>'Tableau de bord'!$C$12:$C$22</c:f>
              <c:strCache>
                <c:ptCount val="10"/>
                <c:pt idx="0">
                  <c:v>Clair Mercier</c:v>
                </c:pt>
                <c:pt idx="1">
                  <c:v>Isabelle Rousseau</c:v>
                </c:pt>
                <c:pt idx="2">
                  <c:v>Jeanne Bernard</c:v>
                </c:pt>
                <c:pt idx="3">
                  <c:v>Julien Martinez</c:v>
                </c:pt>
                <c:pt idx="4">
                  <c:v>Marie Dupont</c:v>
                </c:pt>
                <c:pt idx="5">
                  <c:v>Nicolas Lambert</c:v>
                </c:pt>
                <c:pt idx="6">
                  <c:v>Pierre Dubois</c:v>
                </c:pt>
                <c:pt idx="7">
                  <c:v>Sandrine Moreau</c:v>
                </c:pt>
                <c:pt idx="8">
                  <c:v>Sophie Martin</c:v>
                </c:pt>
                <c:pt idx="9">
                  <c:v>Thomas Levebvre</c:v>
                </c:pt>
              </c:strCache>
            </c:strRef>
          </c:cat>
          <c:val>
            <c:numRef>
              <c:f>'Tableau de bord'!$E$12:$E$22</c:f>
              <c:numCache>
                <c:formatCode>General</c:formatCode>
                <c:ptCount val="10"/>
                <c:pt idx="0">
                  <c:v>1216</c:v>
                </c:pt>
                <c:pt idx="1">
                  <c:v>920</c:v>
                </c:pt>
                <c:pt idx="2">
                  <c:v>720</c:v>
                </c:pt>
                <c:pt idx="3">
                  <c:v>880</c:v>
                </c:pt>
                <c:pt idx="4">
                  <c:v>1600</c:v>
                </c:pt>
                <c:pt idx="5">
                  <c:v>900</c:v>
                </c:pt>
                <c:pt idx="6">
                  <c:v>800</c:v>
                </c:pt>
                <c:pt idx="7">
                  <c:v>1200</c:v>
                </c:pt>
                <c:pt idx="8">
                  <c:v>720</c:v>
                </c:pt>
                <c:pt idx="9">
                  <c:v>1000</c:v>
                </c:pt>
              </c:numCache>
            </c:numRef>
          </c:val>
          <c:extLst>
            <c:ext xmlns:c16="http://schemas.microsoft.com/office/drawing/2014/chart" uri="{C3380CC4-5D6E-409C-BE32-E72D297353CC}">
              <c16:uniqueId val="{00000001-41B0-4086-9685-AB2AD5CDE77E}"/>
            </c:ext>
          </c:extLst>
        </c:ser>
        <c:dLbls>
          <c:showLegendKey val="0"/>
          <c:showVal val="0"/>
          <c:showCatName val="0"/>
          <c:showSerName val="0"/>
          <c:showPercent val="0"/>
          <c:showBubbleSize val="0"/>
        </c:dLbls>
        <c:axId val="624465807"/>
        <c:axId val="624466287"/>
      </c:areaChart>
      <c:catAx>
        <c:axId val="62446580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none" spc="0" baseline="0">
                <a:ln w="0"/>
                <a:solidFill>
                  <a:schemeClr val="bg1"/>
                </a:solidFill>
                <a:effectLst>
                  <a:outerShdw blurRad="50800" dist="38100" dir="2700000" algn="tl" rotWithShape="0">
                    <a:prstClr val="black">
                      <a:alpha val="40000"/>
                    </a:prstClr>
                  </a:outerShdw>
                </a:effectLst>
                <a:latin typeface="+mn-lt"/>
                <a:ea typeface="+mn-ea"/>
                <a:cs typeface="+mn-cs"/>
              </a:defRPr>
            </a:pPr>
            <a:endParaRPr lang="en-US"/>
          </a:p>
        </c:txPr>
        <c:crossAx val="624466287"/>
        <c:crosses val="autoZero"/>
        <c:auto val="1"/>
        <c:lblAlgn val="ctr"/>
        <c:lblOffset val="100"/>
        <c:noMultiLvlLbl val="0"/>
      </c:catAx>
      <c:valAx>
        <c:axId val="624466287"/>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cap="none" spc="0" baseline="0">
                <a:ln w="0"/>
                <a:solidFill>
                  <a:schemeClr val="bg1"/>
                </a:solidFill>
                <a:effectLst>
                  <a:outerShdw blurRad="50800" dist="38100" dir="2700000" algn="tl" rotWithShape="0">
                    <a:prstClr val="black">
                      <a:alpha val="40000"/>
                    </a:prstClr>
                  </a:outerShdw>
                </a:effectLst>
                <a:latin typeface="+mn-lt"/>
                <a:ea typeface="+mn-ea"/>
                <a:cs typeface="+mn-cs"/>
              </a:defRPr>
            </a:pPr>
            <a:endParaRPr lang="en-US"/>
          </a:p>
        </c:txPr>
        <c:crossAx val="624465807"/>
        <c:crosses val="autoZero"/>
        <c:crossBetween val="midCat"/>
      </c:valAx>
      <c:spPr>
        <a:noFill/>
        <a:ln>
          <a:noFill/>
        </a:ln>
        <a:effectLst/>
      </c:spPr>
    </c:plotArea>
    <c:legend>
      <c:legendPos val="r"/>
      <c:overlay val="0"/>
      <c:spPr>
        <a:solidFill>
          <a:srgbClr val="00B050"/>
        </a:solidFill>
        <a:ln>
          <a:solidFill>
            <a:schemeClr val="accent2"/>
          </a:solidFill>
        </a:ln>
        <a:effectLst/>
      </c:spPr>
      <c:txPr>
        <a:bodyPr rot="0" spcFirstLastPara="1" vertOverflow="ellipsis" vert="horz" wrap="square" anchor="ctr" anchorCtr="1"/>
        <a:lstStyle/>
        <a:p>
          <a:pPr>
            <a:defRPr sz="900" b="0" i="0" u="none" strike="noStrike" kern="1200" cap="none" spc="0" baseline="0">
              <a:ln w="0"/>
              <a:solidFill>
                <a:schemeClr val="bg1"/>
              </a:solidFill>
              <a:effectLst>
                <a:outerShdw blurRad="50800" dist="38100" dir="2700000" algn="tl" rotWithShape="0">
                  <a:prstClr val="black">
                    <a:alpha val="40000"/>
                  </a:prstClr>
                </a:outerShdw>
              </a:effectLst>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rgbClr val="77BC13"/>
    </a:solidFill>
    <a:ln w="9525" cap="flat" cmpd="sng" algn="ctr">
      <a:solidFill>
        <a:schemeClr val="dk1">
          <a:lumMod val="25000"/>
          <a:lumOff val="75000"/>
        </a:schemeClr>
      </a:solidFill>
      <a:round/>
    </a:ln>
    <a:effectLst/>
  </c:spPr>
  <c:txPr>
    <a:bodyPr/>
    <a:lstStyle/>
    <a:p>
      <a:pPr>
        <a:defRPr b="0" cap="none" spc="0">
          <a:ln w="0"/>
          <a:solidFill>
            <a:schemeClr val="accent1"/>
          </a:solidFill>
          <a:effectLst>
            <a:outerShdw blurRad="50800" dist="38100" dir="2700000" algn="tl" rotWithShape="0">
              <a:prstClr val="black">
                <a:alpha val="40000"/>
              </a:prstClr>
            </a:outerShdw>
          </a:effectLst>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5</xdr:col>
      <xdr:colOff>487680</xdr:colOff>
      <xdr:row>11</xdr:row>
      <xdr:rowOff>121920</xdr:rowOff>
    </xdr:from>
    <xdr:to>
      <xdr:col>10</xdr:col>
      <xdr:colOff>236220</xdr:colOff>
      <xdr:row>15</xdr:row>
      <xdr:rowOff>152400</xdr:rowOff>
    </xdr:to>
    <xdr:sp macro="[0]!goToVente" textlink="">
      <xdr:nvSpPr>
        <xdr:cNvPr id="4" name="Rectangle 3">
          <a:extLst>
            <a:ext uri="{FF2B5EF4-FFF2-40B4-BE49-F238E27FC236}">
              <a16:creationId xmlns:a16="http://schemas.microsoft.com/office/drawing/2014/main" id="{CCC3B6F3-C76F-B9EA-1B03-BFD48DA4E274}"/>
            </a:ext>
          </a:extLst>
        </xdr:cNvPr>
        <xdr:cNvSpPr/>
      </xdr:nvSpPr>
      <xdr:spPr>
        <a:xfrm>
          <a:off x="3535680" y="2362200"/>
          <a:ext cx="2796540" cy="762000"/>
        </a:xfrm>
        <a:prstGeom prst="rect">
          <a:avLst/>
        </a:prstGeom>
        <a:solidFill>
          <a:srgbClr val="C00000"/>
        </a:solidFill>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CA" sz="4400" b="1">
              <a:solidFill>
                <a:schemeClr val="lt1"/>
              </a:solidFill>
              <a:latin typeface="+mn-lt"/>
              <a:ea typeface="+mn-ea"/>
              <a:cs typeface="+mn-cs"/>
            </a:rPr>
            <a:t>Vente </a:t>
          </a:r>
        </a:p>
      </xdr:txBody>
    </xdr:sp>
    <xdr:clientData/>
  </xdr:twoCellAnchor>
  <xdr:twoCellAnchor>
    <xdr:from>
      <xdr:col>0</xdr:col>
      <xdr:colOff>312420</xdr:colOff>
      <xdr:row>11</xdr:row>
      <xdr:rowOff>129540</xdr:rowOff>
    </xdr:from>
    <xdr:to>
      <xdr:col>5</xdr:col>
      <xdr:colOff>167640</xdr:colOff>
      <xdr:row>15</xdr:row>
      <xdr:rowOff>160020</xdr:rowOff>
    </xdr:to>
    <xdr:sp macro="[0]!goToGestionFin" textlink="">
      <xdr:nvSpPr>
        <xdr:cNvPr id="5" name="Rectangle 4">
          <a:extLst>
            <a:ext uri="{FF2B5EF4-FFF2-40B4-BE49-F238E27FC236}">
              <a16:creationId xmlns:a16="http://schemas.microsoft.com/office/drawing/2014/main" id="{A4F5D3A4-7E4B-33D2-CA91-AEECBDDB6D81}"/>
            </a:ext>
          </a:extLst>
        </xdr:cNvPr>
        <xdr:cNvSpPr/>
      </xdr:nvSpPr>
      <xdr:spPr>
        <a:xfrm>
          <a:off x="312420" y="2369820"/>
          <a:ext cx="2903220" cy="762000"/>
        </a:xfrm>
        <a:prstGeom prst="rect">
          <a:avLst/>
        </a:prstGeom>
        <a:solidFill>
          <a:srgbClr val="00B050"/>
        </a:solidFill>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CA" sz="4400" b="1">
              <a:solidFill>
                <a:schemeClr val="lt1"/>
              </a:solidFill>
              <a:latin typeface="+mn-lt"/>
              <a:ea typeface="+mn-ea"/>
              <a:cs typeface="+mn-cs"/>
            </a:rPr>
            <a:t>Facturation</a:t>
          </a:r>
        </a:p>
      </xdr:txBody>
    </xdr:sp>
    <xdr:clientData/>
  </xdr:twoCellAnchor>
  <xdr:twoCellAnchor>
    <xdr:from>
      <xdr:col>11</xdr:col>
      <xdr:colOff>144780</xdr:colOff>
      <xdr:row>11</xdr:row>
      <xdr:rowOff>114300</xdr:rowOff>
    </xdr:from>
    <xdr:to>
      <xdr:col>15</xdr:col>
      <xdr:colOff>396240</xdr:colOff>
      <xdr:row>15</xdr:row>
      <xdr:rowOff>144780</xdr:rowOff>
    </xdr:to>
    <xdr:sp macro="[0]!goToClient" textlink="">
      <xdr:nvSpPr>
        <xdr:cNvPr id="12" name="Rectangle 11">
          <a:extLst>
            <a:ext uri="{FF2B5EF4-FFF2-40B4-BE49-F238E27FC236}">
              <a16:creationId xmlns:a16="http://schemas.microsoft.com/office/drawing/2014/main" id="{E13F24A1-11FB-4855-A339-8FC1850FED0E}"/>
            </a:ext>
          </a:extLst>
        </xdr:cNvPr>
        <xdr:cNvSpPr/>
      </xdr:nvSpPr>
      <xdr:spPr>
        <a:xfrm>
          <a:off x="6850380" y="2354580"/>
          <a:ext cx="2689860" cy="762000"/>
        </a:xfrm>
        <a:prstGeom prst="rect">
          <a:avLst/>
        </a:prstGeom>
        <a:solidFill>
          <a:srgbClr val="002060"/>
        </a:solidFill>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CA" sz="4400" b="1" noProof="0">
              <a:solidFill>
                <a:schemeClr val="lt1"/>
              </a:solidFill>
              <a:latin typeface="+mn-lt"/>
              <a:ea typeface="+mn-ea"/>
              <a:cs typeface="+mn-cs"/>
            </a:rPr>
            <a:t>Client</a:t>
          </a:r>
        </a:p>
      </xdr:txBody>
    </xdr:sp>
    <xdr:clientData/>
  </xdr:twoCellAnchor>
  <xdr:twoCellAnchor>
    <xdr:from>
      <xdr:col>4</xdr:col>
      <xdr:colOff>349625</xdr:colOff>
      <xdr:row>17</xdr:row>
      <xdr:rowOff>63650</xdr:rowOff>
    </xdr:from>
    <xdr:to>
      <xdr:col>11</xdr:col>
      <xdr:colOff>356682</xdr:colOff>
      <xdr:row>21</xdr:row>
      <xdr:rowOff>89170</xdr:rowOff>
    </xdr:to>
    <xdr:sp macro="[0]!goToTableauBord" textlink="">
      <xdr:nvSpPr>
        <xdr:cNvPr id="2" name="Rectangle 1">
          <a:extLst>
            <a:ext uri="{FF2B5EF4-FFF2-40B4-BE49-F238E27FC236}">
              <a16:creationId xmlns:a16="http://schemas.microsoft.com/office/drawing/2014/main" id="{ACE062FE-2457-4804-93C0-0AC77F63C8F0}"/>
            </a:ext>
          </a:extLst>
        </xdr:cNvPr>
        <xdr:cNvSpPr/>
      </xdr:nvSpPr>
      <xdr:spPr>
        <a:xfrm>
          <a:off x="2781540" y="3460224"/>
          <a:ext cx="4262908" cy="771308"/>
        </a:xfrm>
        <a:prstGeom prst="rect">
          <a:avLst/>
        </a:prstGeom>
        <a:solidFill>
          <a:srgbClr val="0070C0"/>
        </a:solidFill>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CA" sz="4400" b="1">
              <a:solidFill>
                <a:schemeClr val="lt1"/>
              </a:solidFill>
              <a:latin typeface="+mn-lt"/>
              <a:ea typeface="+mn-ea"/>
              <a:cs typeface="+mn-cs"/>
            </a:rPr>
            <a:t>Tableau de bord</a:t>
          </a:r>
        </a:p>
      </xdr:txBody>
    </xdr:sp>
    <xdr:clientData/>
  </xdr:twoCellAnchor>
  <xdr:twoCellAnchor>
    <xdr:from>
      <xdr:col>0</xdr:col>
      <xdr:colOff>322730</xdr:colOff>
      <xdr:row>22</xdr:row>
      <xdr:rowOff>172122</xdr:rowOff>
    </xdr:from>
    <xdr:to>
      <xdr:col>5</xdr:col>
      <xdr:colOff>177950</xdr:colOff>
      <xdr:row>27</xdr:row>
      <xdr:rowOff>23308</xdr:rowOff>
    </xdr:to>
    <xdr:sp macro="[0]!goToProduits" textlink="">
      <xdr:nvSpPr>
        <xdr:cNvPr id="3" name="Rectangle 2">
          <a:extLst>
            <a:ext uri="{FF2B5EF4-FFF2-40B4-BE49-F238E27FC236}">
              <a16:creationId xmlns:a16="http://schemas.microsoft.com/office/drawing/2014/main" id="{92D88B42-5C37-4C0F-BA74-F073088346A6}"/>
            </a:ext>
          </a:extLst>
        </xdr:cNvPr>
        <xdr:cNvSpPr/>
      </xdr:nvSpPr>
      <xdr:spPr>
        <a:xfrm>
          <a:off x="322730" y="4349675"/>
          <a:ext cx="2903220" cy="747657"/>
        </a:xfrm>
        <a:prstGeom prst="rect">
          <a:avLst/>
        </a:prstGeom>
        <a:solidFill>
          <a:schemeClr val="accent2">
            <a:lumMod val="75000"/>
          </a:schemeClr>
        </a:solidFill>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CA" sz="4400" b="1">
              <a:solidFill>
                <a:schemeClr val="lt1"/>
              </a:solidFill>
              <a:latin typeface="+mn-lt"/>
              <a:ea typeface="+mn-ea"/>
              <a:cs typeface="+mn-cs"/>
            </a:rPr>
            <a:t>Produits</a:t>
          </a:r>
        </a:p>
      </xdr:txBody>
    </xdr:sp>
    <xdr:clientData/>
  </xdr:twoCellAnchor>
  <xdr:twoCellAnchor>
    <xdr:from>
      <xdr:col>11</xdr:col>
      <xdr:colOff>265803</xdr:colOff>
      <xdr:row>22</xdr:row>
      <xdr:rowOff>123712</xdr:rowOff>
    </xdr:from>
    <xdr:to>
      <xdr:col>15</xdr:col>
      <xdr:colOff>430306</xdr:colOff>
      <xdr:row>26</xdr:row>
      <xdr:rowOff>154193</xdr:rowOff>
    </xdr:to>
    <xdr:sp macro="[0]!goToVacances" textlink="">
      <xdr:nvSpPr>
        <xdr:cNvPr id="6" name="Rectangle 5">
          <a:extLst>
            <a:ext uri="{FF2B5EF4-FFF2-40B4-BE49-F238E27FC236}">
              <a16:creationId xmlns:a16="http://schemas.microsoft.com/office/drawing/2014/main" id="{0F507272-EB36-40C2-AE8C-392EF6AA549D}"/>
            </a:ext>
          </a:extLst>
        </xdr:cNvPr>
        <xdr:cNvSpPr/>
      </xdr:nvSpPr>
      <xdr:spPr>
        <a:xfrm>
          <a:off x="6971403" y="4301265"/>
          <a:ext cx="2602903" cy="747657"/>
        </a:xfrm>
        <a:prstGeom prst="rect">
          <a:avLst/>
        </a:prstGeom>
        <a:solidFill>
          <a:schemeClr val="bg2">
            <a:lumMod val="25000"/>
          </a:schemeClr>
        </a:solidFill>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CA" sz="4400" b="1">
              <a:solidFill>
                <a:schemeClr val="lt1"/>
              </a:solidFill>
              <a:latin typeface="+mn-lt"/>
              <a:ea typeface="+mn-ea"/>
              <a:cs typeface="+mn-cs"/>
            </a:rPr>
            <a:t>Absence</a:t>
          </a:r>
        </a:p>
      </xdr:txBody>
    </xdr:sp>
    <xdr:clientData/>
  </xdr:twoCellAnchor>
  <xdr:twoCellAnchor editAs="oneCell">
    <xdr:from>
      <xdr:col>0</xdr:col>
      <xdr:colOff>0</xdr:colOff>
      <xdr:row>0</xdr:row>
      <xdr:rowOff>0</xdr:rowOff>
    </xdr:from>
    <xdr:to>
      <xdr:col>1</xdr:col>
      <xdr:colOff>348574</xdr:colOff>
      <xdr:row>5</xdr:row>
      <xdr:rowOff>25210</xdr:rowOff>
    </xdr:to>
    <xdr:pic>
      <xdr:nvPicPr>
        <xdr:cNvPr id="7" name="Picture 6" descr="No photo description available.">
          <a:extLst>
            <a:ext uri="{FF2B5EF4-FFF2-40B4-BE49-F238E27FC236}">
              <a16:creationId xmlns:a16="http://schemas.microsoft.com/office/drawing/2014/main" id="{17B078C3-491D-4ED7-6770-C2FE861B680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56553" cy="9736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154022</xdr:colOff>
      <xdr:row>22</xdr:row>
      <xdr:rowOff>154021</xdr:rowOff>
    </xdr:from>
    <xdr:to>
      <xdr:col>10</xdr:col>
      <xdr:colOff>318525</xdr:colOff>
      <xdr:row>26</xdr:row>
      <xdr:rowOff>184502</xdr:rowOff>
    </xdr:to>
    <xdr:sp macro="[0]!goToPersonnel" textlink="">
      <xdr:nvSpPr>
        <xdr:cNvPr id="8" name="Rectangle 7">
          <a:extLst>
            <a:ext uri="{FF2B5EF4-FFF2-40B4-BE49-F238E27FC236}">
              <a16:creationId xmlns:a16="http://schemas.microsoft.com/office/drawing/2014/main" id="{16E2AD40-2451-4285-839D-2C920AFA5434}"/>
            </a:ext>
          </a:extLst>
        </xdr:cNvPr>
        <xdr:cNvSpPr/>
      </xdr:nvSpPr>
      <xdr:spPr>
        <a:xfrm>
          <a:off x="3801894" y="4482830"/>
          <a:ext cx="2596418" cy="776268"/>
        </a:xfrm>
        <a:prstGeom prst="rect">
          <a:avLst/>
        </a:prstGeom>
        <a:solidFill>
          <a:schemeClr val="tx1"/>
        </a:solidFill>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CA" sz="4400" b="1">
              <a:solidFill>
                <a:schemeClr val="lt1"/>
              </a:solidFill>
              <a:latin typeface="+mn-lt"/>
              <a:ea typeface="+mn-ea"/>
              <a:cs typeface="+mn-cs"/>
            </a:rPr>
            <a:t>Personnel</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0</xdr:colOff>
      <xdr:row>3</xdr:row>
      <xdr:rowOff>0</xdr:rowOff>
    </xdr:from>
    <xdr:to>
      <xdr:col>9</xdr:col>
      <xdr:colOff>396240</xdr:colOff>
      <xdr:row>6</xdr:row>
      <xdr:rowOff>68580</xdr:rowOff>
    </xdr:to>
    <xdr:sp macro="[0]!goToAccueil" textlink="">
      <xdr:nvSpPr>
        <xdr:cNvPr id="2" name="Rectangle 1">
          <a:extLst>
            <a:ext uri="{FF2B5EF4-FFF2-40B4-BE49-F238E27FC236}">
              <a16:creationId xmlns:a16="http://schemas.microsoft.com/office/drawing/2014/main" id="{2C8622A7-10E9-46F3-9EBA-DDC4285A3E39}"/>
            </a:ext>
          </a:extLst>
        </xdr:cNvPr>
        <xdr:cNvSpPr/>
      </xdr:nvSpPr>
      <xdr:spPr>
        <a:xfrm>
          <a:off x="8503920" y="861060"/>
          <a:ext cx="2225040" cy="868680"/>
        </a:xfrm>
        <a:prstGeom prst="rect">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CA" sz="4400" b="1">
              <a:solidFill>
                <a:srgbClr val="77BC13"/>
              </a:solidFill>
              <a:latin typeface="+mn-lt"/>
              <a:ea typeface="+mn-ea"/>
              <a:cs typeface="+mn-cs"/>
            </a:rPr>
            <a:t>Accueil</a:t>
          </a:r>
        </a:p>
      </xdr:txBody>
    </xdr:sp>
    <xdr:clientData/>
  </xdr:twoCellAnchor>
  <xdr:twoCellAnchor>
    <xdr:from>
      <xdr:col>4</xdr:col>
      <xdr:colOff>586740</xdr:colOff>
      <xdr:row>8</xdr:row>
      <xdr:rowOff>99060</xdr:rowOff>
    </xdr:from>
    <xdr:to>
      <xdr:col>8</xdr:col>
      <xdr:colOff>563880</xdr:colOff>
      <xdr:row>9</xdr:row>
      <xdr:rowOff>220980</xdr:rowOff>
    </xdr:to>
    <xdr:sp macro="[0]!recruter" textlink="">
      <xdr:nvSpPr>
        <xdr:cNvPr id="3" name="Rectangle 2">
          <a:extLst>
            <a:ext uri="{FF2B5EF4-FFF2-40B4-BE49-F238E27FC236}">
              <a16:creationId xmlns:a16="http://schemas.microsoft.com/office/drawing/2014/main" id="{4B693563-12D8-B1D9-06FD-06E0D84A49FF}"/>
            </a:ext>
          </a:extLst>
        </xdr:cNvPr>
        <xdr:cNvSpPr/>
      </xdr:nvSpPr>
      <xdr:spPr>
        <a:xfrm>
          <a:off x="7871460" y="2293620"/>
          <a:ext cx="2415540" cy="388620"/>
        </a:xfrm>
        <a:prstGeom prst="rect">
          <a:avLst/>
        </a:prstGeom>
        <a:solidFill>
          <a:srgbClr val="77BC13"/>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400"/>
            <a:t>Ajouter une</a:t>
          </a:r>
          <a:r>
            <a:rPr lang="en-CA" sz="1400" baseline="0"/>
            <a:t> nouvelle recrue</a:t>
          </a:r>
          <a:endParaRPr lang="en-CA" sz="14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476413</xdr:colOff>
      <xdr:row>14</xdr:row>
      <xdr:rowOff>201699</xdr:rowOff>
    </xdr:from>
    <xdr:to>
      <xdr:col>8</xdr:col>
      <xdr:colOff>746855</xdr:colOff>
      <xdr:row>21</xdr:row>
      <xdr:rowOff>171126</xdr:rowOff>
    </xdr:to>
    <mc:AlternateContent xmlns:mc="http://schemas.openxmlformats.org/markup-compatibility/2006" xmlns:tsle="http://schemas.microsoft.com/office/drawing/2012/timeslicer">
      <mc:Choice Requires="tsle">
        <xdr:graphicFrame macro="">
          <xdr:nvGraphicFramePr>
            <xdr:cNvPr id="3" name="Date">
              <a:extLst>
                <a:ext uri="{FF2B5EF4-FFF2-40B4-BE49-F238E27FC236}">
                  <a16:creationId xmlns:a16="http://schemas.microsoft.com/office/drawing/2014/main" id="{F5534F7E-6FF2-283B-18C1-797BF50ED144}"/>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10759402" y="3081257"/>
              <a:ext cx="3230210" cy="1597701"/>
            </a:xfrm>
            <a:prstGeom prst="rect">
              <a:avLst/>
            </a:prstGeom>
            <a:solidFill>
              <a:prstClr val="white"/>
            </a:solidFill>
            <a:ln w="1">
              <a:solidFill>
                <a:prstClr val="green"/>
              </a:solidFill>
            </a:ln>
          </xdr:spPr>
          <xdr:txBody>
            <a:bodyPr vertOverflow="clip" horzOverflow="clip"/>
            <a:lstStyle/>
            <a:p>
              <a:r>
                <a:rPr lang="en-CA" sz="1100"/>
                <a:t>Timeline: Works in Excel 2013 or higher. Do not move or resize.</a:t>
              </a:r>
            </a:p>
          </xdr:txBody>
        </xdr:sp>
      </mc:Fallback>
    </mc:AlternateContent>
    <xdr:clientData/>
  </xdr:twoCellAnchor>
  <xdr:twoCellAnchor editAs="oneCell">
    <xdr:from>
      <xdr:col>0</xdr:col>
      <xdr:colOff>15816</xdr:colOff>
      <xdr:row>41</xdr:row>
      <xdr:rowOff>50991</xdr:rowOff>
    </xdr:from>
    <xdr:to>
      <xdr:col>1</xdr:col>
      <xdr:colOff>256592</xdr:colOff>
      <xdr:row>48</xdr:row>
      <xdr:rowOff>142615</xdr:rowOff>
    </xdr:to>
    <mc:AlternateContent xmlns:mc="http://schemas.openxmlformats.org/markup-compatibility/2006" xmlns:a14="http://schemas.microsoft.com/office/drawing/2010/main">
      <mc:Choice Requires="a14">
        <xdr:graphicFrame macro="">
          <xdr:nvGraphicFramePr>
            <xdr:cNvPr id="4" name="Mode de paiement">
              <a:extLst>
                <a:ext uri="{FF2B5EF4-FFF2-40B4-BE49-F238E27FC236}">
                  <a16:creationId xmlns:a16="http://schemas.microsoft.com/office/drawing/2014/main" id="{8B630612-E2BF-F78B-7496-0CD5456F5CEB}"/>
                </a:ext>
              </a:extLst>
            </xdr:cNvPr>
            <xdr:cNvGraphicFramePr/>
          </xdr:nvGraphicFramePr>
          <xdr:xfrm>
            <a:off x="0" y="0"/>
            <a:ext cx="0" cy="0"/>
          </xdr:xfrm>
          <a:graphic>
            <a:graphicData uri="http://schemas.microsoft.com/office/drawing/2010/slicer">
              <sle:slicer xmlns:sle="http://schemas.microsoft.com/office/drawing/2010/slicer" name="Mode de paiement"/>
            </a:graphicData>
          </a:graphic>
        </xdr:graphicFrame>
      </mc:Choice>
      <mc:Fallback xmlns="">
        <xdr:sp macro="" textlink="">
          <xdr:nvSpPr>
            <xdr:cNvPr id="0" name=""/>
            <xdr:cNvSpPr>
              <a:spLocks noTextEdit="1"/>
            </xdr:cNvSpPr>
          </xdr:nvSpPr>
          <xdr:spPr>
            <a:xfrm>
              <a:off x="15816" y="8296633"/>
              <a:ext cx="1740713" cy="1383014"/>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22</xdr:row>
      <xdr:rowOff>167736</xdr:rowOff>
    </xdr:from>
    <xdr:to>
      <xdr:col>4</xdr:col>
      <xdr:colOff>716280</xdr:colOff>
      <xdr:row>40</xdr:row>
      <xdr:rowOff>92250</xdr:rowOff>
    </xdr:to>
    <xdr:graphicFrame macro="">
      <xdr:nvGraphicFramePr>
        <xdr:cNvPr id="5" name="Graphique 4">
          <a:extLst>
            <a:ext uri="{FF2B5EF4-FFF2-40B4-BE49-F238E27FC236}">
              <a16:creationId xmlns:a16="http://schemas.microsoft.com/office/drawing/2014/main" id="{3D3D3D7D-A3D9-195B-8C20-C0AB94A655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701456</xdr:colOff>
      <xdr:row>22</xdr:row>
      <xdr:rowOff>149911</xdr:rowOff>
    </xdr:from>
    <xdr:to>
      <xdr:col>9</xdr:col>
      <xdr:colOff>35768</xdr:colOff>
      <xdr:row>40</xdr:row>
      <xdr:rowOff>93660</xdr:rowOff>
    </xdr:to>
    <xdr:graphicFrame macro="">
      <xdr:nvGraphicFramePr>
        <xdr:cNvPr id="6" name="Graphique 5">
          <a:extLst>
            <a:ext uri="{FF2B5EF4-FFF2-40B4-BE49-F238E27FC236}">
              <a16:creationId xmlns:a16="http://schemas.microsoft.com/office/drawing/2014/main" id="{F85D52EA-85E9-9C06-292C-780B5038849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1400414</xdr:colOff>
      <xdr:row>40</xdr:row>
      <xdr:rowOff>87546</xdr:rowOff>
    </xdr:from>
    <xdr:to>
      <xdr:col>7</xdr:col>
      <xdr:colOff>700836</xdr:colOff>
      <xdr:row>57</xdr:row>
      <xdr:rowOff>180615</xdr:rowOff>
    </xdr:to>
    <xdr:graphicFrame macro="">
      <xdr:nvGraphicFramePr>
        <xdr:cNvPr id="11" name="Graphique 10">
          <a:extLst>
            <a:ext uri="{FF2B5EF4-FFF2-40B4-BE49-F238E27FC236}">
              <a16:creationId xmlns:a16="http://schemas.microsoft.com/office/drawing/2014/main" id="{13582F99-BE6C-3C36-EF9E-9E86C70806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9</xdr:col>
      <xdr:colOff>8021</xdr:colOff>
      <xdr:row>4</xdr:row>
      <xdr:rowOff>20417</xdr:rowOff>
    </xdr:to>
    <xdr:pic>
      <xdr:nvPicPr>
        <xdr:cNvPr id="7" name="Picture 6">
          <a:extLst>
            <a:ext uri="{FF2B5EF4-FFF2-40B4-BE49-F238E27FC236}">
              <a16:creationId xmlns:a16="http://schemas.microsoft.com/office/drawing/2014/main" id="{27DC9DA4-5E0F-4B1F-820C-B65443090464}"/>
            </a:ext>
          </a:extLst>
        </xdr:cNvPr>
        <xdr:cNvPicPr>
          <a:picLocks noChangeAspect="1"/>
        </xdr:cNvPicPr>
      </xdr:nvPicPr>
      <xdr:blipFill>
        <a:blip xmlns:r="http://schemas.openxmlformats.org/officeDocument/2006/relationships" r:embed="rId4"/>
        <a:stretch>
          <a:fillRect/>
        </a:stretch>
      </xdr:blipFill>
      <xdr:spPr>
        <a:xfrm>
          <a:off x="0" y="0"/>
          <a:ext cx="14277474" cy="854606"/>
        </a:xfrm>
        <a:prstGeom prst="rect">
          <a:avLst/>
        </a:prstGeom>
      </xdr:spPr>
    </xdr:pic>
    <xdr:clientData/>
  </xdr:twoCellAnchor>
  <xdr:twoCellAnchor>
    <xdr:from>
      <xdr:col>0</xdr:col>
      <xdr:colOff>56147</xdr:colOff>
      <xdr:row>4</xdr:row>
      <xdr:rowOff>176463</xdr:rowOff>
    </xdr:from>
    <xdr:to>
      <xdr:col>1</xdr:col>
      <xdr:colOff>1009410</xdr:colOff>
      <xdr:row>9</xdr:row>
      <xdr:rowOff>35842</xdr:rowOff>
    </xdr:to>
    <xdr:sp macro="[0]!goToAccueil" textlink="">
      <xdr:nvSpPr>
        <xdr:cNvPr id="8" name="Rectangle 7">
          <a:extLst>
            <a:ext uri="{FF2B5EF4-FFF2-40B4-BE49-F238E27FC236}">
              <a16:creationId xmlns:a16="http://schemas.microsoft.com/office/drawing/2014/main" id="{41306A75-2891-4D25-A276-9BA52ACD6443}"/>
            </a:ext>
          </a:extLst>
        </xdr:cNvPr>
        <xdr:cNvSpPr/>
      </xdr:nvSpPr>
      <xdr:spPr>
        <a:xfrm>
          <a:off x="56147" y="1010652"/>
          <a:ext cx="2453200" cy="781801"/>
        </a:xfrm>
        <a:prstGeom prst="rect">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CA" sz="4400" b="1">
              <a:solidFill>
                <a:srgbClr val="77BC13"/>
              </a:solidFill>
              <a:latin typeface="+mn-lt"/>
              <a:ea typeface="+mn-ea"/>
              <a:cs typeface="+mn-cs"/>
            </a:rPr>
            <a:t>Accueil</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419100</xdr:colOff>
      <xdr:row>2</xdr:row>
      <xdr:rowOff>68580</xdr:rowOff>
    </xdr:from>
    <xdr:to>
      <xdr:col>7</xdr:col>
      <xdr:colOff>1287780</xdr:colOff>
      <xdr:row>4</xdr:row>
      <xdr:rowOff>236220</xdr:rowOff>
    </xdr:to>
    <xdr:sp macro="[0]!goToAccueil" textlink="">
      <xdr:nvSpPr>
        <xdr:cNvPr id="3" name="Rectangle 2">
          <a:extLst>
            <a:ext uri="{FF2B5EF4-FFF2-40B4-BE49-F238E27FC236}">
              <a16:creationId xmlns:a16="http://schemas.microsoft.com/office/drawing/2014/main" id="{BD741076-E47C-40FE-9823-7CA10AC6D179}"/>
            </a:ext>
          </a:extLst>
        </xdr:cNvPr>
        <xdr:cNvSpPr/>
      </xdr:nvSpPr>
      <xdr:spPr>
        <a:xfrm>
          <a:off x="4671060" y="670560"/>
          <a:ext cx="2903220" cy="762000"/>
        </a:xfrm>
        <a:prstGeom prst="rect">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CA" sz="4400" b="1">
              <a:solidFill>
                <a:srgbClr val="77BC13"/>
              </a:solidFill>
              <a:latin typeface="+mn-lt"/>
              <a:ea typeface="+mn-ea"/>
              <a:cs typeface="+mn-cs"/>
            </a:rPr>
            <a:t>Accueil</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83820</xdr:colOff>
      <xdr:row>5</xdr:row>
      <xdr:rowOff>182880</xdr:rowOff>
    </xdr:from>
    <xdr:to>
      <xdr:col>10</xdr:col>
      <xdr:colOff>91440</xdr:colOff>
      <xdr:row>7</xdr:row>
      <xdr:rowOff>152400</xdr:rowOff>
    </xdr:to>
    <xdr:sp macro="[0]!addForm" textlink="">
      <xdr:nvSpPr>
        <xdr:cNvPr id="2" name="Rectangle 1">
          <a:extLst>
            <a:ext uri="{FF2B5EF4-FFF2-40B4-BE49-F238E27FC236}">
              <a16:creationId xmlns:a16="http://schemas.microsoft.com/office/drawing/2014/main" id="{0F862DA3-E81F-5BA1-EAE8-EDDC203FB98A}"/>
            </a:ext>
          </a:extLst>
        </xdr:cNvPr>
        <xdr:cNvSpPr/>
      </xdr:nvSpPr>
      <xdr:spPr>
        <a:xfrm>
          <a:off x="8481060" y="1348740"/>
          <a:ext cx="2446020" cy="426720"/>
        </a:xfrm>
        <a:prstGeom prst="rect">
          <a:avLst/>
        </a:prstGeom>
        <a:solidFill>
          <a:srgbClr val="77BC13"/>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2000" b="1"/>
            <a:t>Rédiger</a:t>
          </a:r>
          <a:r>
            <a:rPr lang="en-CA" sz="2000" b="1" baseline="0"/>
            <a:t>  facture</a:t>
          </a:r>
          <a:endParaRPr lang="en-CA" sz="2000" b="1"/>
        </a:p>
      </xdr:txBody>
    </xdr:sp>
    <xdr:clientData/>
  </xdr:twoCellAnchor>
  <xdr:twoCellAnchor>
    <xdr:from>
      <xdr:col>6</xdr:col>
      <xdr:colOff>259080</xdr:colOff>
      <xdr:row>14</xdr:row>
      <xdr:rowOff>259080</xdr:rowOff>
    </xdr:from>
    <xdr:to>
      <xdr:col>10</xdr:col>
      <xdr:colOff>45720</xdr:colOff>
      <xdr:row>17</xdr:row>
      <xdr:rowOff>236220</xdr:rowOff>
    </xdr:to>
    <xdr:sp macro="[0]!goToAccueil" textlink="">
      <xdr:nvSpPr>
        <xdr:cNvPr id="4" name="Rectangle 3">
          <a:extLst>
            <a:ext uri="{FF2B5EF4-FFF2-40B4-BE49-F238E27FC236}">
              <a16:creationId xmlns:a16="http://schemas.microsoft.com/office/drawing/2014/main" id="{0D2D5614-5DF1-4205-A590-9B6456C48D2B}"/>
            </a:ext>
          </a:extLst>
        </xdr:cNvPr>
        <xdr:cNvSpPr/>
      </xdr:nvSpPr>
      <xdr:spPr>
        <a:xfrm>
          <a:off x="8656320" y="4610100"/>
          <a:ext cx="2225040" cy="868680"/>
        </a:xfrm>
        <a:prstGeom prst="rect">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CA" sz="4400" b="1">
              <a:solidFill>
                <a:srgbClr val="77BC13"/>
              </a:solidFill>
              <a:latin typeface="+mn-lt"/>
              <a:ea typeface="+mn-ea"/>
              <a:cs typeface="+mn-cs"/>
            </a:rPr>
            <a:t>Accueil</a:t>
          </a:r>
        </a:p>
      </xdr:txBody>
    </xdr:sp>
    <xdr:clientData/>
  </xdr:twoCellAnchor>
  <xdr:twoCellAnchor>
    <xdr:from>
      <xdr:col>6</xdr:col>
      <xdr:colOff>167640</xdr:colOff>
      <xdr:row>8</xdr:row>
      <xdr:rowOff>175260</xdr:rowOff>
    </xdr:from>
    <xdr:to>
      <xdr:col>10</xdr:col>
      <xdr:colOff>152400</xdr:colOff>
      <xdr:row>10</xdr:row>
      <xdr:rowOff>106680</xdr:rowOff>
    </xdr:to>
    <xdr:sp macro="imprimerFacture" textlink="">
      <xdr:nvSpPr>
        <xdr:cNvPr id="3" name="Rectangle 2">
          <a:extLst>
            <a:ext uri="{FF2B5EF4-FFF2-40B4-BE49-F238E27FC236}">
              <a16:creationId xmlns:a16="http://schemas.microsoft.com/office/drawing/2014/main" id="{75582CC9-0938-4D48-B6FF-514D58AFDFF3}"/>
            </a:ext>
          </a:extLst>
        </xdr:cNvPr>
        <xdr:cNvSpPr/>
      </xdr:nvSpPr>
      <xdr:spPr>
        <a:xfrm>
          <a:off x="8564880" y="2095500"/>
          <a:ext cx="2423160" cy="426720"/>
        </a:xfrm>
        <a:prstGeom prst="rect">
          <a:avLst/>
        </a:prstGeom>
        <a:solidFill>
          <a:sysClr val="window" lastClr="FFFFFF"/>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2000" b="1">
              <a:solidFill>
                <a:srgbClr val="77BC13"/>
              </a:solidFill>
            </a:rPr>
            <a:t>Imprimer facture</a:t>
          </a:r>
        </a:p>
      </xdr:txBody>
    </xdr:sp>
    <xdr:clientData/>
  </xdr:twoCellAnchor>
  <xdr:twoCellAnchor editAs="oneCell">
    <xdr:from>
      <xdr:col>0</xdr:col>
      <xdr:colOff>0</xdr:colOff>
      <xdr:row>0</xdr:row>
      <xdr:rowOff>0</xdr:rowOff>
    </xdr:from>
    <xdr:to>
      <xdr:col>10</xdr:col>
      <xdr:colOff>15240</xdr:colOff>
      <xdr:row>3</xdr:row>
      <xdr:rowOff>0</xdr:rowOff>
    </xdr:to>
    <xdr:pic>
      <xdr:nvPicPr>
        <xdr:cNvPr id="10" name="Picture 9">
          <a:extLst>
            <a:ext uri="{FF2B5EF4-FFF2-40B4-BE49-F238E27FC236}">
              <a16:creationId xmlns:a16="http://schemas.microsoft.com/office/drawing/2014/main" id="{9C891F5D-E00C-F386-40E6-806EA1AF2A9B}"/>
            </a:ext>
          </a:extLst>
        </xdr:cNvPr>
        <xdr:cNvPicPr>
          <a:picLocks noChangeAspect="1"/>
        </xdr:cNvPicPr>
      </xdr:nvPicPr>
      <xdr:blipFill>
        <a:blip xmlns:r="http://schemas.openxmlformats.org/officeDocument/2006/relationships" r:embed="rId1"/>
        <a:stretch>
          <a:fillRect/>
        </a:stretch>
      </xdr:blipFill>
      <xdr:spPr>
        <a:xfrm>
          <a:off x="0" y="0"/>
          <a:ext cx="11026140" cy="86868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304800</xdr:colOff>
      <xdr:row>6</xdr:row>
      <xdr:rowOff>243840</xdr:rowOff>
    </xdr:from>
    <xdr:to>
      <xdr:col>8</xdr:col>
      <xdr:colOff>91440</xdr:colOff>
      <xdr:row>9</xdr:row>
      <xdr:rowOff>182880</xdr:rowOff>
    </xdr:to>
    <xdr:sp macro="[0]!goToAccueil" textlink="">
      <xdr:nvSpPr>
        <xdr:cNvPr id="3" name="Rectangle 2">
          <a:extLst>
            <a:ext uri="{FF2B5EF4-FFF2-40B4-BE49-F238E27FC236}">
              <a16:creationId xmlns:a16="http://schemas.microsoft.com/office/drawing/2014/main" id="{5DF5B096-C79A-46CF-9337-EB8DB10A5764}"/>
            </a:ext>
          </a:extLst>
        </xdr:cNvPr>
        <xdr:cNvSpPr/>
      </xdr:nvSpPr>
      <xdr:spPr>
        <a:xfrm>
          <a:off x="7482840" y="1905000"/>
          <a:ext cx="2956560" cy="739140"/>
        </a:xfrm>
        <a:prstGeom prst="rect">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CA" sz="4400" b="1">
              <a:solidFill>
                <a:srgbClr val="77BC13"/>
              </a:solidFill>
              <a:latin typeface="+mn-lt"/>
              <a:ea typeface="+mn-ea"/>
              <a:cs typeface="+mn-cs"/>
            </a:rPr>
            <a:t>Accueil</a:t>
          </a:r>
        </a:p>
      </xdr:txBody>
    </xdr:sp>
    <xdr:clientData/>
  </xdr:twoCellAnchor>
  <xdr:twoCellAnchor editAs="oneCell">
    <xdr:from>
      <xdr:col>4</xdr:col>
      <xdr:colOff>22860</xdr:colOff>
      <xdr:row>0</xdr:row>
      <xdr:rowOff>0</xdr:rowOff>
    </xdr:from>
    <xdr:to>
      <xdr:col>5</xdr:col>
      <xdr:colOff>320040</xdr:colOff>
      <xdr:row>3</xdr:row>
      <xdr:rowOff>228600</xdr:rowOff>
    </xdr:to>
    <xdr:pic>
      <xdr:nvPicPr>
        <xdr:cNvPr id="2" name="Picture 1" descr="No photo description available.">
          <a:extLst>
            <a:ext uri="{FF2B5EF4-FFF2-40B4-BE49-F238E27FC236}">
              <a16:creationId xmlns:a16="http://schemas.microsoft.com/office/drawing/2014/main" id="{7D1509E7-CA6B-4B5A-90CA-36318F471B4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17080" y="0"/>
          <a:ext cx="1089660" cy="10896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281940</xdr:colOff>
      <xdr:row>20</xdr:row>
      <xdr:rowOff>106680</xdr:rowOff>
    </xdr:from>
    <xdr:to>
      <xdr:col>1</xdr:col>
      <xdr:colOff>396240</xdr:colOff>
      <xdr:row>23</xdr:row>
      <xdr:rowOff>0</xdr:rowOff>
    </xdr:to>
    <xdr:sp macro="[0]!effacerDonnees" textlink="">
      <xdr:nvSpPr>
        <xdr:cNvPr id="4" name="Rectangle 3">
          <a:extLst>
            <a:ext uri="{FF2B5EF4-FFF2-40B4-BE49-F238E27FC236}">
              <a16:creationId xmlns:a16="http://schemas.microsoft.com/office/drawing/2014/main" id="{BFEB7241-4385-B06C-8293-FA0188924434}"/>
            </a:ext>
          </a:extLst>
        </xdr:cNvPr>
        <xdr:cNvSpPr/>
      </xdr:nvSpPr>
      <xdr:spPr>
        <a:xfrm>
          <a:off x="281940" y="5166360"/>
          <a:ext cx="1859280" cy="441960"/>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CA" sz="1600"/>
            <a:t>Effacer les données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579120</xdr:colOff>
      <xdr:row>4</xdr:row>
      <xdr:rowOff>129540</xdr:rowOff>
    </xdr:from>
    <xdr:to>
      <xdr:col>9</xdr:col>
      <xdr:colOff>495300</xdr:colOff>
      <xdr:row>7</xdr:row>
      <xdr:rowOff>121920</xdr:rowOff>
    </xdr:to>
    <xdr:sp macro="[0]!goToAccueil" textlink="">
      <xdr:nvSpPr>
        <xdr:cNvPr id="3" name="Rectangle 2">
          <a:extLst>
            <a:ext uri="{FF2B5EF4-FFF2-40B4-BE49-F238E27FC236}">
              <a16:creationId xmlns:a16="http://schemas.microsoft.com/office/drawing/2014/main" id="{C06F7E6A-3058-4544-B150-E3DEB503BB47}"/>
            </a:ext>
          </a:extLst>
        </xdr:cNvPr>
        <xdr:cNvSpPr/>
      </xdr:nvSpPr>
      <xdr:spPr>
        <a:xfrm>
          <a:off x="6256020" y="2324100"/>
          <a:ext cx="2964180" cy="792480"/>
        </a:xfrm>
        <a:prstGeom prst="rect">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CA" sz="4400" b="1">
              <a:solidFill>
                <a:srgbClr val="77BC13"/>
              </a:solidFill>
              <a:latin typeface="+mn-lt"/>
              <a:ea typeface="+mn-ea"/>
              <a:cs typeface="+mn-cs"/>
            </a:rPr>
            <a:t>Accueil</a:t>
          </a:r>
        </a:p>
      </xdr:txBody>
    </xdr:sp>
    <xdr:clientData/>
  </xdr:twoCellAnchor>
  <xdr:twoCellAnchor editAs="oneCell">
    <xdr:from>
      <xdr:col>2</xdr:col>
      <xdr:colOff>7620</xdr:colOff>
      <xdr:row>0</xdr:row>
      <xdr:rowOff>0</xdr:rowOff>
    </xdr:from>
    <xdr:to>
      <xdr:col>3</xdr:col>
      <xdr:colOff>487680</xdr:colOff>
      <xdr:row>3</xdr:row>
      <xdr:rowOff>228600</xdr:rowOff>
    </xdr:to>
    <xdr:pic>
      <xdr:nvPicPr>
        <xdr:cNvPr id="2" name="Picture 1" descr="No photo description available.">
          <a:extLst>
            <a:ext uri="{FF2B5EF4-FFF2-40B4-BE49-F238E27FC236}">
              <a16:creationId xmlns:a16="http://schemas.microsoft.com/office/drawing/2014/main" id="{6859E701-C4B1-45A7-ABFA-6022E0016C1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06140" y="0"/>
          <a:ext cx="1089660" cy="10896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647700</xdr:colOff>
      <xdr:row>17</xdr:row>
      <xdr:rowOff>83820</xdr:rowOff>
    </xdr:from>
    <xdr:to>
      <xdr:col>1</xdr:col>
      <xdr:colOff>449580</xdr:colOff>
      <xdr:row>19</xdr:row>
      <xdr:rowOff>76200</xdr:rowOff>
    </xdr:to>
    <xdr:sp macro="[0]!effacerDonnees" textlink="">
      <xdr:nvSpPr>
        <xdr:cNvPr id="4" name="Rectangle 3">
          <a:extLst>
            <a:ext uri="{FF2B5EF4-FFF2-40B4-BE49-F238E27FC236}">
              <a16:creationId xmlns:a16="http://schemas.microsoft.com/office/drawing/2014/main" id="{0E90492E-B43D-4F46-AD6E-E46983DB1C16}"/>
            </a:ext>
          </a:extLst>
        </xdr:cNvPr>
        <xdr:cNvSpPr/>
      </xdr:nvSpPr>
      <xdr:spPr>
        <a:xfrm>
          <a:off x="647700" y="4518660"/>
          <a:ext cx="1859280" cy="358140"/>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CA" sz="1600"/>
            <a:t>Effacer les données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175260</xdr:colOff>
      <xdr:row>0</xdr:row>
      <xdr:rowOff>129540</xdr:rowOff>
    </xdr:from>
    <xdr:to>
      <xdr:col>8</xdr:col>
      <xdr:colOff>30480</xdr:colOff>
      <xdr:row>3</xdr:row>
      <xdr:rowOff>22860</xdr:rowOff>
    </xdr:to>
    <xdr:sp macro="[0]!goToAccueil" textlink="">
      <xdr:nvSpPr>
        <xdr:cNvPr id="4" name="Rectangle 3">
          <a:extLst>
            <a:ext uri="{FF2B5EF4-FFF2-40B4-BE49-F238E27FC236}">
              <a16:creationId xmlns:a16="http://schemas.microsoft.com/office/drawing/2014/main" id="{C6E76709-5E5B-45A0-9192-B5D9C8DA8CFC}"/>
            </a:ext>
          </a:extLst>
        </xdr:cNvPr>
        <xdr:cNvSpPr/>
      </xdr:nvSpPr>
      <xdr:spPr>
        <a:xfrm>
          <a:off x="4526280" y="129540"/>
          <a:ext cx="2903220" cy="762000"/>
        </a:xfrm>
        <a:prstGeom prst="rect">
          <a:avLst/>
        </a:prstGeom>
        <a:solidFill>
          <a:schemeClr val="bg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CA" sz="4400" b="1">
              <a:solidFill>
                <a:srgbClr val="77BC13"/>
              </a:solidFill>
              <a:latin typeface="+mn-lt"/>
              <a:ea typeface="+mn-ea"/>
              <a:cs typeface="+mn-cs"/>
            </a:rPr>
            <a:t>Accueil</a:t>
          </a:r>
        </a:p>
      </xdr:txBody>
    </xdr:sp>
    <xdr:clientData/>
  </xdr:twoCellAnchor>
  <xdr:twoCellAnchor>
    <xdr:from>
      <xdr:col>3</xdr:col>
      <xdr:colOff>167640</xdr:colOff>
      <xdr:row>4</xdr:row>
      <xdr:rowOff>22860</xdr:rowOff>
    </xdr:from>
    <xdr:to>
      <xdr:col>8</xdr:col>
      <xdr:colOff>297180</xdr:colOff>
      <xdr:row>5</xdr:row>
      <xdr:rowOff>144780</xdr:rowOff>
    </xdr:to>
    <xdr:sp macro="[0]!gererVacances" textlink="">
      <xdr:nvSpPr>
        <xdr:cNvPr id="2" name="Rectangle 1">
          <a:extLst>
            <a:ext uri="{FF2B5EF4-FFF2-40B4-BE49-F238E27FC236}">
              <a16:creationId xmlns:a16="http://schemas.microsoft.com/office/drawing/2014/main" id="{2B55118D-2B4C-A258-D2C5-2CE4DE80EBE4}"/>
            </a:ext>
          </a:extLst>
        </xdr:cNvPr>
        <xdr:cNvSpPr/>
      </xdr:nvSpPr>
      <xdr:spPr>
        <a:xfrm>
          <a:off x="4518660" y="1158240"/>
          <a:ext cx="3177540" cy="388620"/>
        </a:xfrm>
        <a:prstGeom prst="rect">
          <a:avLst/>
        </a:prstGeom>
        <a:solidFill>
          <a:srgbClr val="77BC13"/>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600"/>
            <a:t>Enregistrer</a:t>
          </a:r>
          <a:r>
            <a:rPr lang="en-CA" sz="1600" baseline="0"/>
            <a:t> demande de vacances</a:t>
          </a:r>
          <a:endParaRPr lang="en-CA" sz="1600"/>
        </a:p>
      </xdr:txBody>
    </xdr:sp>
    <xdr:clientData/>
  </xdr:twoCellAnchor>
  <xdr:twoCellAnchor>
    <xdr:from>
      <xdr:col>1</xdr:col>
      <xdr:colOff>7620</xdr:colOff>
      <xdr:row>18</xdr:row>
      <xdr:rowOff>167640</xdr:rowOff>
    </xdr:from>
    <xdr:to>
      <xdr:col>2</xdr:col>
      <xdr:colOff>800100</xdr:colOff>
      <xdr:row>19</xdr:row>
      <xdr:rowOff>259080</xdr:rowOff>
    </xdr:to>
    <xdr:sp macro="[0]!effacerDonnees" textlink="">
      <xdr:nvSpPr>
        <xdr:cNvPr id="12" name="Rectangle 11">
          <a:extLst>
            <a:ext uri="{FF2B5EF4-FFF2-40B4-BE49-F238E27FC236}">
              <a16:creationId xmlns:a16="http://schemas.microsoft.com/office/drawing/2014/main" id="{E2BBE73B-AC2C-465E-8E13-240AC2C35ACC}"/>
            </a:ext>
          </a:extLst>
        </xdr:cNvPr>
        <xdr:cNvSpPr/>
      </xdr:nvSpPr>
      <xdr:spPr>
        <a:xfrm>
          <a:off x="1295400" y="5036820"/>
          <a:ext cx="1859280" cy="358140"/>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CA" sz="1600"/>
            <a:t>Effacer les données</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16132" refreshedDate="45035.791241203704" createdVersion="8" refreshedVersion="8" minRefreshableVersion="3" recordCount="14" xr:uid="{CBD60222-5E17-4BA9-9992-763FD454DEF6}">
  <cacheSource type="worksheet">
    <worksheetSource ref="A1:B15" sheet="Vente"/>
  </cacheSource>
  <cacheFields count="2">
    <cacheField name="Articles Vendus" numFmtId="0">
      <sharedItems count="4">
        <s v="A101"/>
        <s v="A106"/>
        <s v="A109"/>
        <s v="A111"/>
      </sharedItems>
    </cacheField>
    <cacheField name="Quantité" numFmtId="0">
      <sharedItems containsSemiMixedTypes="0" containsString="0" containsNumber="1" containsInteger="1" minValue="3" maxValue="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16132" refreshedDate="45035.816092129629" backgroundQuery="1" createdVersion="8" refreshedVersion="8" minRefreshableVersion="3" recordCount="0" supportSubquery="1" supportAdvancedDrill="1" xr:uid="{5F88E6DB-619E-4C0A-BE18-857917229047}">
  <cacheSource type="external" connectionId="2"/>
  <cacheFields count="3">
    <cacheField name="[Plage].[Nom du client].[Nom du client]" caption="Nom du client" numFmtId="0" hierarchy="1" level="1">
      <sharedItems count="5">
        <s v="Angela Mufazé"/>
        <s v="Caroline Fourest"/>
        <s v="Jennifer Amiens"/>
        <s v="Karim Hassan"/>
        <s v="Sandra Irozak"/>
      </sharedItems>
    </cacheField>
    <cacheField name="[Measures].[Somme de Montant]" caption="Somme de Montant" numFmtId="0" hierarchy="11" level="32767"/>
    <cacheField name="[Plage].[Mode de paiement].[Mode de paiement]" caption="Mode de paiement" numFmtId="0" hierarchy="3" level="1">
      <sharedItems containsSemiMixedTypes="0" containsNonDate="0" containsString="0"/>
    </cacheField>
  </cacheFields>
  <cacheHierarchies count="16">
    <cacheHierarchy uniqueName="[Plage].[Date]" caption="Date" attribute="1" time="1" defaultMemberUniqueName="[Plage].[Date].[All]" allUniqueName="[Plage].[Date].[All]" dimensionUniqueName="[Plage]" displayFolder="" count="2" memberValueDatatype="7" unbalanced="0"/>
    <cacheHierarchy uniqueName="[Plage].[Nom du client]" caption="Nom du client" attribute="1" defaultMemberUniqueName="[Plage].[Nom du client].[All]" allUniqueName="[Plage].[Nom du client].[All]" dimensionUniqueName="[Plage]" displayFolder="" count="2" memberValueDatatype="130" unbalanced="0">
      <fieldsUsage count="2">
        <fieldUsage x="-1"/>
        <fieldUsage x="0"/>
      </fieldsUsage>
    </cacheHierarchy>
    <cacheHierarchy uniqueName="[Plage].[Montant]" caption="Montant" attribute="1" defaultMemberUniqueName="[Plage].[Montant].[All]" allUniqueName="[Plage].[Montant].[All]" dimensionUniqueName="[Plage]" displayFolder="" count="0" memberValueDatatype="5" unbalanced="0"/>
    <cacheHierarchy uniqueName="[Plage].[Mode de paiement]" caption="Mode de paiement" attribute="1" defaultMemberUniqueName="[Plage].[Mode de paiement].[All]" allUniqueName="[Plage].[Mode de paiement].[All]" dimensionUniqueName="[Plage]" displayFolder="" count="2" memberValueDatatype="130" unbalanced="0">
      <fieldsUsage count="2">
        <fieldUsage x="-1"/>
        <fieldUsage x="2"/>
      </fieldsUsage>
    </cacheHierarchy>
    <cacheHierarchy uniqueName="[Plage 1].[Nom complet]" caption="Nom complet" attribute="1" defaultMemberUniqueName="[Plage 1].[Nom complet].[All]" allUniqueName="[Plage 1].[Nom complet].[All]" dimensionUniqueName="[Plage 1]" displayFolder="" count="0" memberValueDatatype="130" unbalanced="0"/>
    <cacheHierarchy uniqueName="[Plage 1].[Immatricule]" caption="Immatricule" attribute="1" defaultMemberUniqueName="[Plage 1].[Immatricule].[All]" allUniqueName="[Plage 1].[Immatricule].[All]" dimensionUniqueName="[Plage 1]" displayFolder="" count="0" memberValueDatatype="130" unbalanced="0"/>
    <cacheHierarchy uniqueName="[Plage 1].[Nombre d'heures travaillés/semaine]" caption="Nombre d'heures travaillés/semaine" attribute="1" defaultMemberUniqueName="[Plage 1].[Nombre d'heures travaillés/semaine].[All]" allUniqueName="[Plage 1].[Nombre d'heures travaillés/semaine].[All]" dimensionUniqueName="[Plage 1]" displayFolder="" count="0" memberValueDatatype="20" unbalanced="0"/>
    <cacheHierarchy uniqueName="[Plage 1].[Salaire]" caption="Salaire" attribute="1" defaultMemberUniqueName="[Plage 1].[Salaire].[All]" allUniqueName="[Plage 1].[Salaire].[All]" dimensionUniqueName="[Plage 1]" displayFolder="" count="0" memberValueDatatype="20" unbalanced="0"/>
    <cacheHierarchy uniqueName="[Measures].[__XL_Count Plage]" caption="__XL_Count Plage" measure="1" displayFolder="" measureGroup="Plage" count="0" hidden="1"/>
    <cacheHierarchy uniqueName="[Measures].[__XL_Count Plage 1]" caption="__XL_Count Plage 1" measure="1" displayFolder="" measureGroup="Plage 1" count="0" hidden="1"/>
    <cacheHierarchy uniqueName="[Measures].[__No measures defined]" caption="__No measures defined" measure="1" displayFolder="" count="0" hidden="1"/>
    <cacheHierarchy uniqueName="[Measures].[Somme de Montant]" caption="Somme de Montant" measure="1" displayFolder="" measureGroup="Plage" count="0" oneField="1" hidden="1">
      <fieldsUsage count="1">
        <fieldUsage x="1"/>
      </fieldsUsage>
      <extLst>
        <ext xmlns:x15="http://schemas.microsoft.com/office/spreadsheetml/2010/11/main" uri="{B97F6D7D-B522-45F9-BDA1-12C45D357490}">
          <x15:cacheHierarchy aggregatedColumn="2"/>
        </ext>
      </extLst>
    </cacheHierarchy>
    <cacheHierarchy uniqueName="[Measures].[Nombre de Mode de paiement]" caption="Nombre de Mode de paiement" measure="1" displayFolder="" measureGroup="Plage" count="0" hidden="1">
      <extLst>
        <ext xmlns:x15="http://schemas.microsoft.com/office/spreadsheetml/2010/11/main" uri="{B97F6D7D-B522-45F9-BDA1-12C45D357490}">
          <x15:cacheHierarchy aggregatedColumn="3"/>
        </ext>
      </extLst>
    </cacheHierarchy>
    <cacheHierarchy uniqueName="[Measures].[Nombre de Immatricule]" caption="Nombre de Immatricule" measure="1" displayFolder="" measureGroup="Plage 1" count="0" hidden="1">
      <extLst>
        <ext xmlns:x15="http://schemas.microsoft.com/office/spreadsheetml/2010/11/main" uri="{B97F6D7D-B522-45F9-BDA1-12C45D357490}">
          <x15:cacheHierarchy aggregatedColumn="5"/>
        </ext>
      </extLst>
    </cacheHierarchy>
    <cacheHierarchy uniqueName="[Measures].[Somme de Nombre d'heures travaillés/semaine]" caption="Somme de Nombre d'heures travaillés/semaine" measure="1" displayFolder="" measureGroup="Plage 1" count="0" hidden="1">
      <extLst>
        <ext xmlns:x15="http://schemas.microsoft.com/office/spreadsheetml/2010/11/main" uri="{B97F6D7D-B522-45F9-BDA1-12C45D357490}">
          <x15:cacheHierarchy aggregatedColumn="6"/>
        </ext>
      </extLst>
    </cacheHierarchy>
    <cacheHierarchy uniqueName="[Measures].[Somme de Salaire]" caption="Somme de Salaire" measure="1" displayFolder="" measureGroup="Plage 1" count="0" hidden="1">
      <extLst>
        <ext xmlns:x15="http://schemas.microsoft.com/office/spreadsheetml/2010/11/main" uri="{B97F6D7D-B522-45F9-BDA1-12C45D357490}">
          <x15:cacheHierarchy aggregatedColumn="7"/>
        </ext>
      </extLst>
    </cacheHierarchy>
  </cacheHierarchies>
  <kpis count="0"/>
  <dimensions count="3">
    <dimension measure="1" name="Measures" uniqueName="[Measures]" caption="Measures"/>
    <dimension name="Plage" uniqueName="[Plage]" caption="Plage"/>
    <dimension name="Plage 1" uniqueName="[Plage 1]" caption="Plage 1"/>
  </dimensions>
  <measureGroups count="2">
    <measureGroup name="Plage" caption="Plage"/>
    <measureGroup name="Plage 1" caption="Pla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16132" refreshedDate="45035.816092824076" backgroundQuery="1" createdVersion="8" refreshedVersion="8" minRefreshableVersion="3" recordCount="0" supportSubquery="1" supportAdvancedDrill="1" xr:uid="{FC5FB43F-9F89-4C2C-8A0D-C43A281676C7}">
  <cacheSource type="external" connectionId="2"/>
  <cacheFields count="4">
    <cacheField name="[Plage 1].[Nom complet].[Nom complet]" caption="Nom complet" numFmtId="0" hierarchy="4" level="1">
      <sharedItems count="10">
        <s v="Clair Mercier"/>
        <s v="Isabelle Rousseau"/>
        <s v="Jeanne Bernard"/>
        <s v="Julien Martinez"/>
        <s v="Marie Dupont"/>
        <s v="Nicolas Lambert"/>
        <s v="Pierre Dubois"/>
        <s v="Sandrine Moreau"/>
        <s v="Sophie Martin"/>
        <s v="Thomas Levebvre"/>
      </sharedItems>
    </cacheField>
    <cacheField name="[Measures].[Somme de Nombre d'heures travaillés/semaine]" caption="Somme de Nombre d'heures travaillés/semaine" numFmtId="0" hierarchy="14" level="32767"/>
    <cacheField name="[Measures].[Somme de Salaire]" caption="Somme de Salaire" numFmtId="0" hierarchy="15" level="32767"/>
    <cacheField name="[Plage].[Mode de paiement].[Mode de paiement]" caption="Mode de paiement" numFmtId="0" hierarchy="3" level="1">
      <sharedItems containsSemiMixedTypes="0" containsNonDate="0" containsString="0"/>
    </cacheField>
  </cacheFields>
  <cacheHierarchies count="16">
    <cacheHierarchy uniqueName="[Plage].[Date]" caption="Date" attribute="1" time="1" defaultMemberUniqueName="[Plage].[Date].[All]" allUniqueName="[Plage].[Date].[All]" dimensionUniqueName="[Plage]" displayFolder="" count="2" memberValueDatatype="7" unbalanced="0"/>
    <cacheHierarchy uniqueName="[Plage].[Nom du client]" caption="Nom du client" attribute="1" defaultMemberUniqueName="[Plage].[Nom du client].[All]" allUniqueName="[Plage].[Nom du client].[All]" dimensionUniqueName="[Plage]" displayFolder="" count="0" memberValueDatatype="130" unbalanced="0"/>
    <cacheHierarchy uniqueName="[Plage].[Montant]" caption="Montant" attribute="1" defaultMemberUniqueName="[Plage].[Montant].[All]" allUniqueName="[Plage].[Montant].[All]" dimensionUniqueName="[Plage]" displayFolder="" count="0" memberValueDatatype="5" unbalanced="0"/>
    <cacheHierarchy uniqueName="[Plage].[Mode de paiement]" caption="Mode de paiement" attribute="1" defaultMemberUniqueName="[Plage].[Mode de paiement].[All]" allUniqueName="[Plage].[Mode de paiement].[All]" dimensionUniqueName="[Plage]" displayFolder="" count="2" memberValueDatatype="130" unbalanced="0">
      <fieldsUsage count="2">
        <fieldUsage x="-1"/>
        <fieldUsage x="3"/>
      </fieldsUsage>
    </cacheHierarchy>
    <cacheHierarchy uniqueName="[Plage 1].[Nom complet]" caption="Nom complet" attribute="1" defaultMemberUniqueName="[Plage 1].[Nom complet].[All]" allUniqueName="[Plage 1].[Nom complet].[All]" dimensionUniqueName="[Plage 1]" displayFolder="" count="2" memberValueDatatype="130" unbalanced="0">
      <fieldsUsage count="2">
        <fieldUsage x="-1"/>
        <fieldUsage x="0"/>
      </fieldsUsage>
    </cacheHierarchy>
    <cacheHierarchy uniqueName="[Plage 1].[Immatricule]" caption="Immatricule" attribute="1" defaultMemberUniqueName="[Plage 1].[Immatricule].[All]" allUniqueName="[Plage 1].[Immatricule].[All]" dimensionUniqueName="[Plage 1]" displayFolder="" count="0" memberValueDatatype="130" unbalanced="0"/>
    <cacheHierarchy uniqueName="[Plage 1].[Nombre d'heures travaillés/semaine]" caption="Nombre d'heures travaillés/semaine" attribute="1" defaultMemberUniqueName="[Plage 1].[Nombre d'heures travaillés/semaine].[All]" allUniqueName="[Plage 1].[Nombre d'heures travaillés/semaine].[All]" dimensionUniqueName="[Plage 1]" displayFolder="" count="0" memberValueDatatype="20" unbalanced="0"/>
    <cacheHierarchy uniqueName="[Plage 1].[Salaire]" caption="Salaire" attribute="1" defaultMemberUniqueName="[Plage 1].[Salaire].[All]" allUniqueName="[Plage 1].[Salaire].[All]" dimensionUniqueName="[Plage 1]" displayFolder="" count="0" memberValueDatatype="20" unbalanced="0"/>
    <cacheHierarchy uniqueName="[Measures].[__XL_Count Plage]" caption="__XL_Count Plage" measure="1" displayFolder="" measureGroup="Plage" count="0" hidden="1"/>
    <cacheHierarchy uniqueName="[Measures].[__XL_Count Plage 1]" caption="__XL_Count Plage 1" measure="1" displayFolder="" measureGroup="Plage 1" count="0" hidden="1"/>
    <cacheHierarchy uniqueName="[Measures].[__No measures defined]" caption="__No measures defined" measure="1" displayFolder="" count="0" hidden="1"/>
    <cacheHierarchy uniqueName="[Measures].[Somme de Montant]" caption="Somme de Montant" measure="1" displayFolder="" measureGroup="Plage" count="0" hidden="1">
      <extLst>
        <ext xmlns:x15="http://schemas.microsoft.com/office/spreadsheetml/2010/11/main" uri="{B97F6D7D-B522-45F9-BDA1-12C45D357490}">
          <x15:cacheHierarchy aggregatedColumn="2"/>
        </ext>
      </extLst>
    </cacheHierarchy>
    <cacheHierarchy uniqueName="[Measures].[Nombre de Mode de paiement]" caption="Nombre de Mode de paiement" measure="1" displayFolder="" measureGroup="Plage" count="0" hidden="1">
      <extLst>
        <ext xmlns:x15="http://schemas.microsoft.com/office/spreadsheetml/2010/11/main" uri="{B97F6D7D-B522-45F9-BDA1-12C45D357490}">
          <x15:cacheHierarchy aggregatedColumn="3"/>
        </ext>
      </extLst>
    </cacheHierarchy>
    <cacheHierarchy uniqueName="[Measures].[Nombre de Immatricule]" caption="Nombre de Immatricule" measure="1" displayFolder="" measureGroup="Plage 1" count="0" hidden="1">
      <extLst>
        <ext xmlns:x15="http://schemas.microsoft.com/office/spreadsheetml/2010/11/main" uri="{B97F6D7D-B522-45F9-BDA1-12C45D357490}">
          <x15:cacheHierarchy aggregatedColumn="5"/>
        </ext>
      </extLst>
    </cacheHierarchy>
    <cacheHierarchy uniqueName="[Measures].[Somme de Nombre d'heures travaillés/semaine]" caption="Somme de Nombre d'heures travaillés/semaine" measure="1" displayFolder="" measureGroup="Plage 1" count="0" oneField="1" hidden="1">
      <fieldsUsage count="1">
        <fieldUsage x="1"/>
      </fieldsUsage>
      <extLst>
        <ext xmlns:x15="http://schemas.microsoft.com/office/spreadsheetml/2010/11/main" uri="{B97F6D7D-B522-45F9-BDA1-12C45D357490}">
          <x15:cacheHierarchy aggregatedColumn="6"/>
        </ext>
      </extLst>
    </cacheHierarchy>
    <cacheHierarchy uniqueName="[Measures].[Somme de Salaire]" caption="Somme de Salaire" measure="1" displayFolder="" measureGroup="Plage 1" count="0" oneField="1" hidden="1">
      <fieldsUsage count="1">
        <fieldUsage x="2"/>
      </fieldsUsage>
      <extLst>
        <ext xmlns:x15="http://schemas.microsoft.com/office/spreadsheetml/2010/11/main" uri="{B97F6D7D-B522-45F9-BDA1-12C45D357490}">
          <x15:cacheHierarchy aggregatedColumn="7"/>
        </ext>
      </extLst>
    </cacheHierarchy>
  </cacheHierarchies>
  <kpis count="0"/>
  <dimensions count="3">
    <dimension measure="1" name="Measures" uniqueName="[Measures]" caption="Measures"/>
    <dimension name="Plage" uniqueName="[Plage]" caption="Plage"/>
    <dimension name="Plage 1" uniqueName="[Plage 1]" caption="Plage 1"/>
  </dimensions>
  <measureGroups count="2">
    <measureGroup name="Plage" caption="Plage"/>
    <measureGroup name="Plage 1" caption="Pla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16132" refreshedDate="45035.791233680553" backgroundQuery="1" createdVersion="3" refreshedVersion="8" minRefreshableVersion="3" recordCount="0" supportSubquery="1" supportAdvancedDrill="1" xr:uid="{4C5AF432-F7E5-49E3-8D86-904DD12B2BB2}">
  <cacheSource type="external" connectionId="2">
    <extLst>
      <ext xmlns:x14="http://schemas.microsoft.com/office/spreadsheetml/2009/9/main" uri="{F057638F-6D5F-4e77-A914-E7F072B9BCA8}">
        <x14:sourceConnection name="ThisWorkbookDataModel"/>
      </ext>
    </extLst>
  </cacheSource>
  <cacheFields count="0"/>
  <cacheHierarchies count="16">
    <cacheHierarchy uniqueName="[Plage].[Date]" caption="Date" attribute="1" time="1" defaultMemberUniqueName="[Plage].[Date].[All]" allUniqueName="[Plage].[Date].[All]" dimensionUniqueName="[Plage]" displayFolder="" count="0" memberValueDatatype="7" unbalanced="0"/>
    <cacheHierarchy uniqueName="[Plage].[Nom du client]" caption="Nom du client" attribute="1" defaultMemberUniqueName="[Plage].[Nom du client].[All]" allUniqueName="[Plage].[Nom du client].[All]" dimensionUniqueName="[Plage]" displayFolder="" count="0" memberValueDatatype="130" unbalanced="0"/>
    <cacheHierarchy uniqueName="[Plage].[Montant]" caption="Montant" attribute="1" defaultMemberUniqueName="[Plage].[Montant].[All]" allUniqueName="[Plage].[Montant].[All]" dimensionUniqueName="[Plage]" displayFolder="" count="0" memberValueDatatype="5" unbalanced="0"/>
    <cacheHierarchy uniqueName="[Plage].[Mode de paiement]" caption="Mode de paiement" attribute="1" defaultMemberUniqueName="[Plage].[Mode de paiement].[All]" allUniqueName="[Plage].[Mode de paiement].[All]" dimensionUniqueName="[Plage]" displayFolder="" count="2" memberValueDatatype="130" unbalanced="0"/>
    <cacheHierarchy uniqueName="[Plage 1].[Nom complet]" caption="Nom complet" attribute="1" defaultMemberUniqueName="[Plage 1].[Nom complet].[All]" allUniqueName="[Plage 1].[Nom complet].[All]" dimensionUniqueName="[Plage 1]" displayFolder="" count="0" memberValueDatatype="130" unbalanced="0"/>
    <cacheHierarchy uniqueName="[Plage 1].[Immatricule]" caption="Immatricule" attribute="1" defaultMemberUniqueName="[Plage 1].[Immatricule].[All]" allUniqueName="[Plage 1].[Immatricule].[All]" dimensionUniqueName="[Plage 1]" displayFolder="" count="0" memberValueDatatype="130" unbalanced="0"/>
    <cacheHierarchy uniqueName="[Plage 1].[Nombre d'heures travaillés/semaine]" caption="Nombre d'heures travaillés/semaine" attribute="1" defaultMemberUniqueName="[Plage 1].[Nombre d'heures travaillés/semaine].[All]" allUniqueName="[Plage 1].[Nombre d'heures travaillés/semaine].[All]" dimensionUniqueName="[Plage 1]" displayFolder="" count="0" memberValueDatatype="20" unbalanced="0"/>
    <cacheHierarchy uniqueName="[Plage 1].[Salaire]" caption="Salaire" attribute="1" defaultMemberUniqueName="[Plage 1].[Salaire].[All]" allUniqueName="[Plage 1].[Salaire].[All]" dimensionUniqueName="[Plage 1]" displayFolder="" count="0" memberValueDatatype="20" unbalanced="0"/>
    <cacheHierarchy uniqueName="[Measures].[__XL_Count Plage]" caption="__XL_Count Plage" measure="1" displayFolder="" measureGroup="Plage" count="0" hidden="1"/>
    <cacheHierarchy uniqueName="[Measures].[__XL_Count Plage 1]" caption="__XL_Count Plage 1" measure="1" displayFolder="" measureGroup="Plage 1" count="0" hidden="1"/>
    <cacheHierarchy uniqueName="[Measures].[__No measures defined]" caption="__No measures defined" measure="1" displayFolder="" count="0" hidden="1"/>
    <cacheHierarchy uniqueName="[Measures].[Somme de Montant]" caption="Somme de Montant" measure="1" displayFolder="" measureGroup="Plage" count="0" hidden="1">
      <extLst>
        <ext xmlns:x15="http://schemas.microsoft.com/office/spreadsheetml/2010/11/main" uri="{B97F6D7D-B522-45F9-BDA1-12C45D357490}">
          <x15:cacheHierarchy aggregatedColumn="2"/>
        </ext>
      </extLst>
    </cacheHierarchy>
    <cacheHierarchy uniqueName="[Measures].[Nombre de Mode de paiement]" caption="Nombre de Mode de paiement" measure="1" displayFolder="" measureGroup="Plage" count="0" hidden="1">
      <extLst>
        <ext xmlns:x15="http://schemas.microsoft.com/office/spreadsheetml/2010/11/main" uri="{B97F6D7D-B522-45F9-BDA1-12C45D357490}">
          <x15:cacheHierarchy aggregatedColumn="3"/>
        </ext>
      </extLst>
    </cacheHierarchy>
    <cacheHierarchy uniqueName="[Measures].[Nombre de Immatricule]" caption="Nombre de Immatricule" measure="1" displayFolder="" measureGroup="Plage 1" count="0" hidden="1">
      <extLst>
        <ext xmlns:x15="http://schemas.microsoft.com/office/spreadsheetml/2010/11/main" uri="{B97F6D7D-B522-45F9-BDA1-12C45D357490}">
          <x15:cacheHierarchy aggregatedColumn="5"/>
        </ext>
      </extLst>
    </cacheHierarchy>
    <cacheHierarchy uniqueName="[Measures].[Somme de Nombre d'heures travaillés/semaine]" caption="Somme de Nombre d'heures travaillés/semaine" measure="1" displayFolder="" measureGroup="Plage 1" count="0" hidden="1">
      <extLst>
        <ext xmlns:x15="http://schemas.microsoft.com/office/spreadsheetml/2010/11/main" uri="{B97F6D7D-B522-45F9-BDA1-12C45D357490}">
          <x15:cacheHierarchy aggregatedColumn="6"/>
        </ext>
      </extLst>
    </cacheHierarchy>
    <cacheHierarchy uniqueName="[Measures].[Somme de Salaire]" caption="Somme de Salaire" measure="1" displayFolder="" measureGroup="Plage 1" count="0" hidden="1">
      <extLst>
        <ext xmlns:x15="http://schemas.microsoft.com/office/spreadsheetml/2010/11/main" uri="{B97F6D7D-B522-45F9-BDA1-12C45D357490}">
          <x15:cacheHierarchy aggregatedColumn="7"/>
        </ext>
      </extLst>
    </cacheHierarchy>
  </cacheHierarchies>
  <kpis count="0"/>
  <extLst>
    <ext xmlns:x14="http://schemas.microsoft.com/office/spreadsheetml/2009/9/main" uri="{725AE2AE-9491-48be-B2B4-4EB974FC3084}">
      <x14:pivotCacheDefinition slicerData="1" pivotCacheId="280996258"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16132" refreshedDate="45035.791234259261" backgroundQuery="1" createdVersion="3" refreshedVersion="8" minRefreshableVersion="3" recordCount="0" supportSubquery="1" supportAdvancedDrill="1" xr:uid="{E6493B41-14FD-4514-BEED-A71043ECE0A8}">
  <cacheSource type="external" connectionId="2">
    <extLst>
      <ext xmlns:x14="http://schemas.microsoft.com/office/spreadsheetml/2009/9/main" uri="{F057638F-6D5F-4e77-A914-E7F072B9BCA8}">
        <x14:sourceConnection name="ThisWorkbookDataModel"/>
      </ext>
    </extLst>
  </cacheSource>
  <cacheFields count="0"/>
  <cacheHierarchies count="16">
    <cacheHierarchy uniqueName="[Plage].[Date]" caption="Date" attribute="1" time="1" defaultMemberUniqueName="[Plage].[Date].[All]" allUniqueName="[Plage].[Date].[All]" dimensionUniqueName="[Plage]" displayFolder="" count="2" memberValueDatatype="7" unbalanced="0"/>
    <cacheHierarchy uniqueName="[Plage].[Nom du client]" caption="Nom du client" attribute="1" defaultMemberUniqueName="[Plage].[Nom du client].[All]" allUniqueName="[Plage].[Nom du client].[All]" dimensionUniqueName="[Plage]" displayFolder="" count="0" memberValueDatatype="130" unbalanced="0"/>
    <cacheHierarchy uniqueName="[Plage].[Montant]" caption="Montant" attribute="1" defaultMemberUniqueName="[Plage].[Montant].[All]" allUniqueName="[Plage].[Montant].[All]" dimensionUniqueName="[Plage]" displayFolder="" count="0" memberValueDatatype="5" unbalanced="0"/>
    <cacheHierarchy uniqueName="[Plage].[Mode de paiement]" caption="Mode de paiement" attribute="1" defaultMemberUniqueName="[Plage].[Mode de paiement].[All]" allUniqueName="[Plage].[Mode de paiement].[All]" dimensionUniqueName="[Plage]" displayFolder="" count="0" memberValueDatatype="130" unbalanced="0"/>
    <cacheHierarchy uniqueName="[Plage 1].[Nom complet]" caption="Nom complet" attribute="1" defaultMemberUniqueName="[Plage 1].[Nom complet].[All]" allUniqueName="[Plage 1].[Nom complet].[All]" dimensionUniqueName="[Plage 1]" displayFolder="" count="0" memberValueDatatype="130" unbalanced="0"/>
    <cacheHierarchy uniqueName="[Plage 1].[Immatricule]" caption="Immatricule" attribute="1" defaultMemberUniqueName="[Plage 1].[Immatricule].[All]" allUniqueName="[Plage 1].[Immatricule].[All]" dimensionUniqueName="[Plage 1]" displayFolder="" count="0" memberValueDatatype="130" unbalanced="0"/>
    <cacheHierarchy uniqueName="[Plage 1].[Nombre d'heures travaillés/semaine]" caption="Nombre d'heures travaillés/semaine" attribute="1" defaultMemberUniqueName="[Plage 1].[Nombre d'heures travaillés/semaine].[All]" allUniqueName="[Plage 1].[Nombre d'heures travaillés/semaine].[All]" dimensionUniqueName="[Plage 1]" displayFolder="" count="0" memberValueDatatype="20" unbalanced="0"/>
    <cacheHierarchy uniqueName="[Plage 1].[Salaire]" caption="Salaire" attribute="1" defaultMemberUniqueName="[Plage 1].[Salaire].[All]" allUniqueName="[Plage 1].[Salaire].[All]" dimensionUniqueName="[Plage 1]" displayFolder="" count="0" memberValueDatatype="20" unbalanced="0"/>
    <cacheHierarchy uniqueName="[Measures].[__XL_Count Plage]" caption="__XL_Count Plage" measure="1" displayFolder="" measureGroup="Plage" count="0" hidden="1"/>
    <cacheHierarchy uniqueName="[Measures].[__XL_Count Plage 1]" caption="__XL_Count Plage 1" measure="1" displayFolder="" measureGroup="Plage 1" count="0" hidden="1"/>
    <cacheHierarchy uniqueName="[Measures].[__No measures defined]" caption="__No measures defined" measure="1" displayFolder="" count="0" hidden="1"/>
    <cacheHierarchy uniqueName="[Measures].[Somme de Montant]" caption="Somme de Montant" measure="1" displayFolder="" measureGroup="Plage" count="0" hidden="1">
      <extLst>
        <ext xmlns:x15="http://schemas.microsoft.com/office/spreadsheetml/2010/11/main" uri="{B97F6D7D-B522-45F9-BDA1-12C45D357490}">
          <x15:cacheHierarchy aggregatedColumn="2"/>
        </ext>
      </extLst>
    </cacheHierarchy>
    <cacheHierarchy uniqueName="[Measures].[Nombre de Mode de paiement]" caption="Nombre de Mode de paiement" measure="1" displayFolder="" measureGroup="Plage" count="0" hidden="1">
      <extLst>
        <ext xmlns:x15="http://schemas.microsoft.com/office/spreadsheetml/2010/11/main" uri="{B97F6D7D-B522-45F9-BDA1-12C45D357490}">
          <x15:cacheHierarchy aggregatedColumn="3"/>
        </ext>
      </extLst>
    </cacheHierarchy>
    <cacheHierarchy uniqueName="[Measures].[Nombre de Immatricule]" caption="Nombre de Immatricule" measure="1" displayFolder="" measureGroup="Plage 1" count="0" hidden="1">
      <extLst>
        <ext xmlns:x15="http://schemas.microsoft.com/office/spreadsheetml/2010/11/main" uri="{B97F6D7D-B522-45F9-BDA1-12C45D357490}">
          <x15:cacheHierarchy aggregatedColumn="5"/>
        </ext>
      </extLst>
    </cacheHierarchy>
    <cacheHierarchy uniqueName="[Measures].[Somme de Nombre d'heures travaillés/semaine]" caption="Somme de Nombre d'heures travaillés/semaine" measure="1" displayFolder="" measureGroup="Plage 1" count="0" hidden="1">
      <extLst>
        <ext xmlns:x15="http://schemas.microsoft.com/office/spreadsheetml/2010/11/main" uri="{B97F6D7D-B522-45F9-BDA1-12C45D357490}">
          <x15:cacheHierarchy aggregatedColumn="6"/>
        </ext>
      </extLst>
    </cacheHierarchy>
    <cacheHierarchy uniqueName="[Measures].[Somme de Salaire]" caption="Somme de Salaire" measure="1" displayFolder="" measureGroup="Plage 1" count="0" hidden="1">
      <extLst>
        <ext xmlns:x15="http://schemas.microsoft.com/office/spreadsheetml/2010/11/main" uri="{B97F6D7D-B522-45F9-BDA1-12C45D357490}">
          <x15:cacheHierarchy aggregatedColumn="7"/>
        </ext>
      </extLst>
    </cacheHierarchy>
  </cacheHierarchies>
  <kpis count="0"/>
  <extLst>
    <ext xmlns:x14="http://schemas.microsoft.com/office/spreadsheetml/2009/9/main" uri="{725AE2AE-9491-48be-B2B4-4EB974FC3084}">
      <x14:pivotCacheDefinition pivotCacheId="496912046"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
  <r>
    <x v="0"/>
    <n v="3"/>
  </r>
  <r>
    <x v="0"/>
    <n v="3"/>
  </r>
  <r>
    <x v="0"/>
    <n v="6"/>
  </r>
  <r>
    <x v="0"/>
    <n v="3"/>
  </r>
  <r>
    <x v="0"/>
    <n v="6"/>
  </r>
  <r>
    <x v="1"/>
    <n v="5"/>
  </r>
  <r>
    <x v="1"/>
    <n v="3"/>
  </r>
  <r>
    <x v="1"/>
    <n v="3"/>
  </r>
  <r>
    <x v="1"/>
    <n v="3"/>
  </r>
  <r>
    <x v="1"/>
    <n v="3"/>
  </r>
  <r>
    <x v="2"/>
    <n v="5"/>
  </r>
  <r>
    <x v="3"/>
    <n v="4"/>
  </r>
  <r>
    <x v="3"/>
    <n v="4"/>
  </r>
  <r>
    <x v="3"/>
    <n v="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14C815B-4DFC-4A7A-AA28-B48D906543FC}" name="Tableau croisé dynamique2" cacheId="0"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chartFormat="4" rowHeaderCaption="Article">
  <location ref="A11:B16" firstHeaderRow="1" firstDataRow="1" firstDataCol="1"/>
  <pivotFields count="2">
    <pivotField axis="axisRow" showAll="0" sortType="ascending">
      <items count="5">
        <item x="0"/>
        <item x="1"/>
        <item x="2"/>
        <item x="3"/>
        <item t="default"/>
      </items>
    </pivotField>
    <pivotField dataField="1" showAll="0"/>
  </pivotFields>
  <rowFields count="1">
    <field x="0"/>
  </rowFields>
  <rowItems count="5">
    <i>
      <x/>
    </i>
    <i>
      <x v="1"/>
    </i>
    <i>
      <x v="2"/>
    </i>
    <i>
      <x v="3"/>
    </i>
    <i t="grand">
      <x/>
    </i>
  </rowItems>
  <colItems count="1">
    <i/>
  </colItems>
  <dataFields count="1">
    <dataField name="Somme de Quantité" fld="1" baseField="0" baseItem="0"/>
  </dataFields>
  <formats count="37">
    <format dxfId="55">
      <pivotArea field="0" type="button" dataOnly="0" labelOnly="1" outline="0" axis="axisRow" fieldPosition="0"/>
    </format>
    <format dxfId="54">
      <pivotArea dataOnly="0" labelOnly="1" outline="0" axis="axisValues" fieldPosition="0"/>
    </format>
    <format dxfId="53">
      <pivotArea field="0" type="button" dataOnly="0" labelOnly="1" outline="0" axis="axisRow" fieldPosition="0"/>
    </format>
    <format dxfId="52">
      <pivotArea dataOnly="0" labelOnly="1" outline="0" axis="axisValues" fieldPosition="0"/>
    </format>
    <format dxfId="51">
      <pivotArea grandRow="1" outline="0" collapsedLevelsAreSubtotals="1" fieldPosition="0"/>
    </format>
    <format dxfId="50">
      <pivotArea dataOnly="0" labelOnly="1" grandRow="1" outline="0" fieldPosition="0"/>
    </format>
    <format dxfId="49">
      <pivotArea grandRow="1" outline="0" collapsedLevelsAreSubtotals="1" fieldPosition="0"/>
    </format>
    <format dxfId="48">
      <pivotArea dataOnly="0" labelOnly="1" grandRow="1" outline="0" fieldPosition="0"/>
    </format>
    <format dxfId="47">
      <pivotArea field="0" type="button" dataOnly="0" labelOnly="1" outline="0" axis="axisRow" fieldPosition="0"/>
    </format>
    <format dxfId="46">
      <pivotArea dataOnly="0" labelOnly="1" fieldPosition="0">
        <references count="1">
          <reference field="0" count="0"/>
        </references>
      </pivotArea>
    </format>
    <format dxfId="45">
      <pivotArea dataOnly="0" labelOnly="1" grandRow="1" outline="0" fieldPosition="0"/>
    </format>
    <format dxfId="44">
      <pivotArea type="all" dataOnly="0" outline="0" fieldPosition="0"/>
    </format>
    <format dxfId="43">
      <pivotArea outline="0" collapsedLevelsAreSubtotals="1" fieldPosition="0"/>
    </format>
    <format dxfId="42">
      <pivotArea field="0" type="button" dataOnly="0" labelOnly="1" outline="0" axis="axisRow" fieldPosition="0"/>
    </format>
    <format dxfId="41">
      <pivotArea dataOnly="0" labelOnly="1" fieldPosition="0">
        <references count="1">
          <reference field="0" count="0"/>
        </references>
      </pivotArea>
    </format>
    <format dxfId="40">
      <pivotArea dataOnly="0" labelOnly="1" grandRow="1" outline="0" fieldPosition="0"/>
    </format>
    <format dxfId="39">
      <pivotArea dataOnly="0" labelOnly="1" outline="0" axis="axisValues" fieldPosition="0"/>
    </format>
    <format dxfId="38">
      <pivotArea type="all" dataOnly="0" outline="0" fieldPosition="0"/>
    </format>
    <format dxfId="37">
      <pivotArea outline="0" collapsedLevelsAreSubtotals="1" fieldPosition="0"/>
    </format>
    <format dxfId="36">
      <pivotArea field="0" type="button" dataOnly="0" labelOnly="1" outline="0" axis="axisRow" fieldPosition="0"/>
    </format>
    <format dxfId="35">
      <pivotArea dataOnly="0" labelOnly="1" fieldPosition="0">
        <references count="1">
          <reference field="0" count="0"/>
        </references>
      </pivotArea>
    </format>
    <format dxfId="34">
      <pivotArea dataOnly="0" labelOnly="1" grandRow="1" outline="0" fieldPosition="0"/>
    </format>
    <format dxfId="33">
      <pivotArea dataOnly="0" labelOnly="1" outline="0" axis="axisValues" fieldPosition="0"/>
    </format>
    <format dxfId="32">
      <pivotArea field="0" type="button" dataOnly="0" labelOnly="1" outline="0" axis="axisRow" fieldPosition="0"/>
    </format>
    <format dxfId="31">
      <pivotArea dataOnly="0" labelOnly="1" outline="0" axis="axisValues" fieldPosition="0"/>
    </format>
    <format dxfId="30">
      <pivotArea type="all" dataOnly="0" outline="0" fieldPosition="0"/>
    </format>
    <format dxfId="29">
      <pivotArea outline="0" collapsedLevelsAreSubtotals="1" fieldPosition="0"/>
    </format>
    <format dxfId="28">
      <pivotArea field="0" type="button" dataOnly="0" labelOnly="1" outline="0" axis="axisRow" fieldPosition="0"/>
    </format>
    <format dxfId="27">
      <pivotArea dataOnly="0" labelOnly="1" fieldPosition="0">
        <references count="1">
          <reference field="0" count="0"/>
        </references>
      </pivotArea>
    </format>
    <format dxfId="26">
      <pivotArea dataOnly="0" labelOnly="1" grandRow="1" outline="0" fieldPosition="0"/>
    </format>
    <format dxfId="25">
      <pivotArea dataOnly="0" labelOnly="1" outline="0" axis="axisValues" fieldPosition="0"/>
    </format>
    <format dxfId="24">
      <pivotArea type="all" dataOnly="0" outline="0" fieldPosition="0"/>
    </format>
    <format dxfId="23">
      <pivotArea outline="0" collapsedLevelsAreSubtotals="1" fieldPosition="0"/>
    </format>
    <format dxfId="22">
      <pivotArea field="0" type="button" dataOnly="0" labelOnly="1" outline="0" axis="axisRow" fieldPosition="0"/>
    </format>
    <format dxfId="21">
      <pivotArea dataOnly="0" labelOnly="1" fieldPosition="0">
        <references count="1">
          <reference field="0" count="0"/>
        </references>
      </pivotArea>
    </format>
    <format dxfId="20">
      <pivotArea dataOnly="0" labelOnly="1" grandRow="1" outline="0" fieldPosition="0"/>
    </format>
    <format dxfId="19">
      <pivotArea dataOnly="0" labelOnly="1" outline="0" axis="axisValues" fieldPosition="0"/>
    </format>
  </formats>
  <chartFormats count="5">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0" count="1" selected="0">
            <x v="0"/>
          </reference>
        </references>
      </pivotArea>
    </chartFormat>
    <chartFormat chart="3" format="2">
      <pivotArea type="data" outline="0" fieldPosition="0">
        <references count="2">
          <reference field="4294967294" count="1" selected="0">
            <x v="0"/>
          </reference>
          <reference field="0" count="1" selected="0">
            <x v="1"/>
          </reference>
        </references>
      </pivotArea>
    </chartFormat>
    <chartFormat chart="3" format="3">
      <pivotArea type="data" outline="0" fieldPosition="0">
        <references count="2">
          <reference field="4294967294" count="1" selected="0">
            <x v="0"/>
          </reference>
          <reference field="0" count="1" selected="0">
            <x v="2"/>
          </reference>
        </references>
      </pivotArea>
    </chartFormat>
    <chartFormat chart="3" format="4">
      <pivotArea type="data" outline="0" fieldPosition="0">
        <references count="2">
          <reference field="4294967294" count="1" selected="0">
            <x v="0"/>
          </reference>
          <reference field="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1C3A7FE-E73F-42D5-AAAE-B1B80AAC4896}" name="Tableau croisé dynamique3" cacheId="1" applyNumberFormats="0" applyBorderFormats="0" applyFontFormats="0" applyPatternFormats="0" applyAlignmentFormats="0" applyWidthHeightFormats="1" dataCaption="Valeurs" updatedVersion="8" minRefreshableVersion="5" useAutoFormatting="1" subtotalHiddenItems="1" itemPrintTitles="1" createdVersion="8" indent="0" outline="1" outlineData="1" multipleFieldFilters="0" chartFormat="2" rowHeaderCaption="Clients">
  <location ref="F11:G17" firstHeaderRow="1" firstDataRow="1" firstDataCol="1"/>
  <pivotFields count="3">
    <pivotField axis="axisRow" allDrilled="1" subtotalTop="0" showAll="0" sortType="ascending"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name="Sum of Montant" fld="1" baseField="0" baseItem="0"/>
  </dataFields>
  <formats count="31">
    <format dxfId="86">
      <pivotArea field="0" type="button" dataOnly="0" labelOnly="1" outline="0" axis="axisRow" fieldPosition="0"/>
    </format>
    <format dxfId="85">
      <pivotArea dataOnly="0" labelOnly="1" outline="0" axis="axisValues" fieldPosition="0"/>
    </format>
    <format dxfId="84">
      <pivotArea field="0" type="button" dataOnly="0" labelOnly="1" outline="0" axis="axisRow" fieldPosition="0"/>
    </format>
    <format dxfId="83">
      <pivotArea dataOnly="0" labelOnly="1" outline="0" axis="axisValues" fieldPosition="0"/>
    </format>
    <format dxfId="82">
      <pivotArea grandRow="1" outline="0" collapsedLevelsAreSubtotals="1" fieldPosition="0"/>
    </format>
    <format dxfId="81">
      <pivotArea dataOnly="0" labelOnly="1" grandRow="1" outline="0" fieldPosition="0"/>
    </format>
    <format dxfId="80">
      <pivotArea grandRow="1" outline="0" collapsedLevelsAreSubtotals="1" fieldPosition="0"/>
    </format>
    <format dxfId="79">
      <pivotArea dataOnly="0" labelOnly="1" grandRow="1" outline="0" fieldPosition="0"/>
    </format>
    <format dxfId="78">
      <pivotArea field="0" type="button" dataOnly="0" labelOnly="1" outline="0" axis="axisRow" fieldPosition="0"/>
    </format>
    <format dxfId="77">
      <pivotArea dataOnly="0" labelOnly="1" fieldPosition="0">
        <references count="1">
          <reference field="0" count="0"/>
        </references>
      </pivotArea>
    </format>
    <format dxfId="76">
      <pivotArea dataOnly="0" labelOnly="1" grandRow="1" outline="0" fieldPosition="0"/>
    </format>
    <format dxfId="75">
      <pivotArea type="all" dataOnly="0" outline="0" fieldPosition="0"/>
    </format>
    <format dxfId="74">
      <pivotArea outline="0" collapsedLevelsAreSubtotals="1" fieldPosition="0"/>
    </format>
    <format dxfId="73">
      <pivotArea field="0" type="button" dataOnly="0" labelOnly="1" outline="0" axis="axisRow" fieldPosition="0"/>
    </format>
    <format dxfId="72">
      <pivotArea dataOnly="0" labelOnly="1" fieldPosition="0">
        <references count="1">
          <reference field="0" count="0"/>
        </references>
      </pivotArea>
    </format>
    <format dxfId="71">
      <pivotArea dataOnly="0" labelOnly="1" grandRow="1" outline="0" fieldPosition="0"/>
    </format>
    <format dxfId="70">
      <pivotArea dataOnly="0" labelOnly="1" outline="0" axis="axisValues" fieldPosition="0"/>
    </format>
    <format dxfId="69">
      <pivotArea dataOnly="0" labelOnly="1" outline="0" axis="axisValues" fieldPosition="0"/>
    </format>
    <format dxfId="68">
      <pivotArea outline="0" collapsedLevelsAreSubtotals="1" fieldPosition="0"/>
    </format>
    <format dxfId="67">
      <pivotArea type="all" dataOnly="0" outline="0" fieldPosition="0"/>
    </format>
    <format dxfId="66">
      <pivotArea outline="0" collapsedLevelsAreSubtotals="1" fieldPosition="0"/>
    </format>
    <format dxfId="65">
      <pivotArea field="0" type="button" dataOnly="0" labelOnly="1" outline="0" axis="axisRow" fieldPosition="0"/>
    </format>
    <format dxfId="64">
      <pivotArea dataOnly="0" labelOnly="1" fieldPosition="0">
        <references count="1">
          <reference field="0" count="0"/>
        </references>
      </pivotArea>
    </format>
    <format dxfId="63">
      <pivotArea dataOnly="0" labelOnly="1" grandRow="1" outline="0" fieldPosition="0"/>
    </format>
    <format dxfId="62">
      <pivotArea dataOnly="0" labelOnly="1" outline="0" axis="axisValues" fieldPosition="0"/>
    </format>
    <format dxfId="61">
      <pivotArea type="all" dataOnly="0" outline="0" fieldPosition="0"/>
    </format>
    <format dxfId="60">
      <pivotArea outline="0" collapsedLevelsAreSubtotals="1" fieldPosition="0"/>
    </format>
    <format dxfId="59">
      <pivotArea field="0" type="button" dataOnly="0" labelOnly="1" outline="0" axis="axisRow" fieldPosition="0"/>
    </format>
    <format dxfId="58">
      <pivotArea dataOnly="0" labelOnly="1" fieldPosition="0">
        <references count="1">
          <reference field="0" count="0"/>
        </references>
      </pivotArea>
    </format>
    <format dxfId="57">
      <pivotArea dataOnly="0" labelOnly="1" grandRow="1" outline="0" fieldPosition="0"/>
    </format>
    <format dxfId="56">
      <pivotArea dataOnly="0" labelOnly="1" outline="0" axis="axisValues" fieldPosition="0"/>
    </format>
  </formats>
  <chartFormats count="1">
    <chartFormat chart="1" format="22" series="1">
      <pivotArea type="data" outline="0" fieldPosition="0">
        <references count="1">
          <reference field="4294967294" count="1" selected="0">
            <x v="0"/>
          </reference>
        </references>
      </pivotArea>
    </chartFormat>
  </chartFormats>
  <pivotHierarchies count="16">
    <pivotHierarchy dragToData="1"/>
    <pivotHierarchy dragToData="1"/>
    <pivotHierarchy dragToData="1"/>
    <pivotHierarchy multipleItemSelectionAllowed="1" dragToData="1">
      <members count="1" level="1">
        <member name="[Plage].[Mode de paiement].&amp;[Espèces]"/>
      </members>
    </pivotHierarchy>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ient!$A$1:$D$15">
        <x15:activeTabTopLevelEntity name="[Pla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CB0BD95-0BF8-4C5E-9676-13B98CD6F6B4}" name="Tableau croisé dynamique1" cacheId="2" applyNumberFormats="0" applyBorderFormats="0" applyFontFormats="0" applyPatternFormats="0" applyAlignmentFormats="0" applyWidthHeightFormats="1" dataCaption="Valeurs" updatedVersion="8" minRefreshableVersion="5" useAutoFormatting="1" itemPrintTitles="1" createdVersion="8" indent="0" outline="1" outlineData="1" multipleFieldFilters="0" chartFormat="20" rowHeaderCaption="Employés">
  <location ref="C11:E22" firstHeaderRow="0" firstDataRow="1" firstDataCol="1"/>
  <pivotFields count="4">
    <pivotField axis="axisRow" allDrilled="1" subtotalTop="0" showAll="0" dataSourceSort="1" defaultSubtotal="0" defaultAttributeDrillState="1">
      <items count="10">
        <item x="0"/>
        <item x="1"/>
        <item x="2"/>
        <item x="3"/>
        <item x="4"/>
        <item x="5"/>
        <item x="6"/>
        <item x="7"/>
        <item x="8"/>
        <item x="9"/>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1">
    <i>
      <x/>
    </i>
    <i>
      <x v="1"/>
    </i>
    <i>
      <x v="2"/>
    </i>
    <i>
      <x v="3"/>
    </i>
    <i>
      <x v="4"/>
    </i>
    <i>
      <x v="5"/>
    </i>
    <i>
      <x v="6"/>
    </i>
    <i>
      <x v="7"/>
    </i>
    <i>
      <x v="8"/>
    </i>
    <i>
      <x v="9"/>
    </i>
    <i t="grand">
      <x/>
    </i>
  </rowItems>
  <colFields count="1">
    <field x="-2"/>
  </colFields>
  <colItems count="2">
    <i>
      <x/>
    </i>
    <i i="1">
      <x v="1"/>
    </i>
  </colItems>
  <dataFields count="2">
    <dataField name="h travaillées/sem" fld="1" baseField="0" baseItem="0"/>
    <dataField name="Somme de Salaire" fld="2" baseField="0" baseItem="0"/>
  </dataFields>
  <formats count="34">
    <format dxfId="120">
      <pivotArea field="0" type="button" dataOnly="0" labelOnly="1" outline="0" axis="axisRow" fieldPosition="0"/>
    </format>
    <format dxfId="119">
      <pivotArea dataOnly="0" labelOnly="1" outline="0" fieldPosition="0">
        <references count="1">
          <reference field="4294967294" count="2">
            <x v="0"/>
            <x v="1"/>
          </reference>
        </references>
      </pivotArea>
    </format>
    <format dxfId="118">
      <pivotArea field="0" type="button" dataOnly="0" labelOnly="1" outline="0" axis="axisRow" fieldPosition="0"/>
    </format>
    <format dxfId="117">
      <pivotArea dataOnly="0" labelOnly="1" outline="0" fieldPosition="0">
        <references count="1">
          <reference field="4294967294" count="2">
            <x v="0"/>
            <x v="1"/>
          </reference>
        </references>
      </pivotArea>
    </format>
    <format dxfId="116">
      <pivotArea dataOnly="0" grandRow="1" axis="axisRow" fieldPosition="0"/>
    </format>
    <format dxfId="115">
      <pivotArea dataOnly="0" grandRow="1" axis="axisRow" fieldPosition="0"/>
    </format>
    <format dxfId="114">
      <pivotArea field="0" type="button" dataOnly="0" labelOnly="1" outline="0" axis="axisRow" fieldPosition="0"/>
    </format>
    <format dxfId="113">
      <pivotArea dataOnly="0" labelOnly="1" fieldPosition="0">
        <references count="1">
          <reference field="0" count="0"/>
        </references>
      </pivotArea>
    </format>
    <format dxfId="112">
      <pivotArea dataOnly="0" labelOnly="1" grandRow="1" outline="0" fieldPosition="0"/>
    </format>
    <format dxfId="111">
      <pivotArea type="all" dataOnly="0" outline="0" fieldPosition="0"/>
    </format>
    <format dxfId="110">
      <pivotArea outline="0" collapsedLevelsAreSubtotals="1" fieldPosition="0"/>
    </format>
    <format dxfId="109">
      <pivotArea field="0" type="button" dataOnly="0" labelOnly="1" outline="0" axis="axisRow" fieldPosition="0"/>
    </format>
    <format dxfId="108">
      <pivotArea dataOnly="0" labelOnly="1" fieldPosition="0">
        <references count="1">
          <reference field="0" count="0"/>
        </references>
      </pivotArea>
    </format>
    <format dxfId="107">
      <pivotArea dataOnly="0" labelOnly="1" grandRow="1" outline="0" fieldPosition="0"/>
    </format>
    <format dxfId="106">
      <pivotArea dataOnly="0" labelOnly="1" outline="0" fieldPosition="0">
        <references count="1">
          <reference field="4294967294" count="2">
            <x v="0"/>
            <x v="1"/>
          </reference>
        </references>
      </pivotArea>
    </format>
    <format dxfId="105">
      <pivotArea collapsedLevelsAreSubtotals="1" fieldPosition="0">
        <references count="2">
          <reference field="4294967294" count="1" selected="0">
            <x v="0"/>
          </reference>
          <reference field="0" count="0"/>
        </references>
      </pivotArea>
    </format>
    <format dxfId="104">
      <pivotArea dataOnly="0" labelOnly="1" outline="0" fieldPosition="0">
        <references count="1">
          <reference field="4294967294" count="2">
            <x v="0"/>
            <x v="1"/>
          </reference>
        </references>
      </pivotArea>
    </format>
    <format dxfId="103">
      <pivotArea dataOnly="0" labelOnly="1" outline="0" fieldPosition="0">
        <references count="1">
          <reference field="4294967294" count="1">
            <x v="0"/>
          </reference>
        </references>
      </pivotArea>
    </format>
    <format dxfId="102">
      <pivotArea dataOnly="0" labelOnly="1" outline="0" fieldPosition="0">
        <references count="1">
          <reference field="4294967294" count="1">
            <x v="1"/>
          </reference>
        </references>
      </pivotArea>
    </format>
    <format dxfId="101">
      <pivotArea outline="0" collapsedLevelsAreSubtotals="1" fieldPosition="0">
        <references count="1">
          <reference field="4294967294" count="1" selected="0">
            <x v="0"/>
          </reference>
        </references>
      </pivotArea>
    </format>
    <format dxfId="100">
      <pivotArea outline="0" collapsedLevelsAreSubtotals="1" fieldPosition="0">
        <references count="1">
          <reference field="4294967294" count="1" selected="0">
            <x v="1"/>
          </reference>
        </references>
      </pivotArea>
    </format>
    <format dxfId="99">
      <pivotArea type="all" dataOnly="0" outline="0" fieldPosition="0"/>
    </format>
    <format dxfId="98">
      <pivotArea type="all" dataOnly="0" outline="0" fieldPosition="0"/>
    </format>
    <format dxfId="97">
      <pivotArea outline="0" collapsedLevelsAreSubtotals="1" fieldPosition="0"/>
    </format>
    <format dxfId="96">
      <pivotArea field="0" type="button" dataOnly="0" labelOnly="1" outline="0" axis="axisRow" fieldPosition="0"/>
    </format>
    <format dxfId="95">
      <pivotArea dataOnly="0" labelOnly="1" fieldPosition="0">
        <references count="1">
          <reference field="0" count="0"/>
        </references>
      </pivotArea>
    </format>
    <format dxfId="94">
      <pivotArea dataOnly="0" labelOnly="1" grandRow="1" outline="0" fieldPosition="0"/>
    </format>
    <format dxfId="93">
      <pivotArea dataOnly="0" labelOnly="1" outline="0" fieldPosition="0">
        <references count="1">
          <reference field="4294967294" count="2">
            <x v="0"/>
            <x v="1"/>
          </reference>
        </references>
      </pivotArea>
    </format>
    <format dxfId="92">
      <pivotArea type="all" dataOnly="0" outline="0" fieldPosition="0"/>
    </format>
    <format dxfId="91">
      <pivotArea outline="0" collapsedLevelsAreSubtotals="1" fieldPosition="0"/>
    </format>
    <format dxfId="90">
      <pivotArea field="0" type="button" dataOnly="0" labelOnly="1" outline="0" axis="axisRow" fieldPosition="0"/>
    </format>
    <format dxfId="89">
      <pivotArea dataOnly="0" labelOnly="1" fieldPosition="0">
        <references count="1">
          <reference field="0" count="0"/>
        </references>
      </pivotArea>
    </format>
    <format dxfId="88">
      <pivotArea dataOnly="0" labelOnly="1" grandRow="1" outline="0" fieldPosition="0"/>
    </format>
    <format dxfId="87">
      <pivotArea dataOnly="0" labelOnly="1" outline="0" fieldPosition="0">
        <references count="1">
          <reference field="4294967294" count="2">
            <x v="0"/>
            <x v="1"/>
          </reference>
        </references>
      </pivotArea>
    </format>
  </formats>
  <chartFormats count="2">
    <chartFormat chart="19" format="0" series="1">
      <pivotArea type="data" outline="0" fieldPosition="0">
        <references count="1">
          <reference field="4294967294" count="1" selected="0">
            <x v="0"/>
          </reference>
        </references>
      </pivotArea>
    </chartFormat>
    <chartFormat chart="19" format="1" series="1">
      <pivotArea type="data" outline="0" fieldPosition="0">
        <references count="1">
          <reference field="4294967294" count="1" selected="0">
            <x v="1"/>
          </reference>
        </references>
      </pivotArea>
    </chartFormat>
  </chartFormats>
  <pivotHierarchies count="16">
    <pivotHierarchy dragToData="1"/>
    <pivotHierarchy dragToData="1"/>
    <pivotHierarchy dragToData="1"/>
    <pivotHierarchy multipleItemSelectionAllowed="1" dragToData="1">
      <members count="1" level="1">
        <member name="[Plage].[Mode de paiement].&amp;[Espèces]"/>
      </members>
    </pivotHierarchy>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h travaillées/sem"/>
    <pivotHierarchy dragToData="1"/>
  </pivotHierarchies>
  <pivotTableStyleInfo name="PivotStyleLight16" showRowHeaders="1" showColHeaders="1" showRowStripes="0" showColStripes="0" showLastColumn="1"/>
  <rowHierarchiesUsage count="1">
    <rowHierarchyUsage hierarchyUsage="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lage 1]"/>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1" backgroundRefresh="0" connectionId="1" xr16:uid="{85173E65-38CB-4856-8F05-9A9B2978F2E2}" autoFormatId="16" applyNumberFormats="0" applyBorderFormats="0" applyFontFormats="0" applyPatternFormats="0" applyAlignmentFormats="0" applyWidthHeightFormats="0">
  <queryTableRefresh nextId="5">
    <queryTableFields count="4">
      <queryTableField id="1" name="Plage[Date]" tableColumnId="1"/>
      <queryTableField id="2" name="Plage[Nom du client]" tableColumnId="2"/>
      <queryTableField id="3" name="Plage[Montant]" tableColumnId="3"/>
      <queryTableField id="4" name="Plage[Mode de paiement]" tableColumnId="4"/>
    </queryTableFields>
  </queryTableRefresh>
  <extLst>
    <ext xmlns:x15="http://schemas.microsoft.com/office/spreadsheetml/2010/11/main" uri="{883FBD77-0823-4a55-B5E3-86C4891E6966}">
      <x15:queryTable drillThrough="1"/>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Mode_de_paiement" xr10:uid="{E5EC9F6F-381E-432C-928D-0E002577D64E}" sourceName="[Plage].[Mode de paiement]">
  <pivotTables>
    <pivotTable tabId="5" name="Tableau croisé dynamique3"/>
    <pivotTable tabId="5" name="Tableau croisé dynamique1"/>
  </pivotTables>
  <data>
    <olap pivotCacheId="280996258">
      <levels count="2">
        <level uniqueName="[Plage].[Mode de paiement].[(All)]" sourceCaption="(All)" count="0"/>
        <level uniqueName="[Plage].[Mode de paiement].[Mode de paiement]" sourceCaption="Mode de paiement" count="4">
          <ranges>
            <range startItem="0">
              <i n="[Plage].[Mode de paiement].&amp;[Chèque]" c="Chèque"/>
              <i n="[Plage].[Mode de paiement].&amp;[Espèces]" c="Espèces"/>
              <i n="[Plage].[Mode de paiement].&amp;[Interac]" c="Interac"/>
              <i n="[Plage].[Mode de paiement].&amp;" c="(blank)"/>
            </range>
          </ranges>
        </level>
      </levels>
      <selections count="1">
        <selection n="[Plage].[Mode de paiement].&amp;[Espèces]"/>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de de paiement" xr10:uid="{093A2D98-F9AA-4160-9444-EF8A48D0C8CB}" cache="Segment_Mode_de_paiement" caption="Mode de paiement" level="1" style="SlicerStyleLight6"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6C900E7-4BD7-4E28-B44C-E8A26A9AC616}" name="Tableau_DonnéesExternes_1" displayName="Tableau_DonnéesExternes_1" ref="A3:D4" tableType="queryTable" totalsRowShown="0">
  <autoFilter ref="A3:D4" xr:uid="{66C900E7-4BD7-4E28-B44C-E8A26A9AC616}"/>
  <tableColumns count="4">
    <tableColumn id="1" xr3:uid="{21CCD5AA-B816-495D-B227-B380AA04A18F}" uniqueName="1" name="Plage[Date]" queryTableFieldId="1" dataDxfId="121"/>
    <tableColumn id="2" xr3:uid="{F0D13741-A2EC-4AA3-BF73-8ACC719EE002}" uniqueName="2" name="Plage[Nom du client]" queryTableFieldId="2"/>
    <tableColumn id="3" xr3:uid="{1754E063-6FCC-45FB-AD92-B2B577AFFCDD}" uniqueName="3" name="Plage[Montant]" queryTableFieldId="3"/>
    <tableColumn id="4" xr3:uid="{F9ADAA04-561F-4BDF-B8AC-78C4F5C46669}" uniqueName="4" name="Plage[Mode de paiement]" queryTableFieldId="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A6BB622-ABA5-43EF-B204-5202C8EF1643}" name="Table3" displayName="Table3" ref="A1:C42" totalsRowShown="0" headerRowDxfId="18" headerRowBorderDxfId="17" tableBorderDxfId="16">
  <autoFilter ref="A1:C42" xr:uid="{1A6BB622-ABA5-43EF-B204-5202C8EF1643}"/>
  <tableColumns count="3">
    <tableColumn id="1" xr3:uid="{6924D5A5-037F-4C9B-ABA8-88D63C9A1EA1}" name="Réf" dataDxfId="15"/>
    <tableColumn id="2" xr3:uid="{696F1AB7-9ABC-4622-BE61-E32D008E96D3}" name="Description" dataDxfId="14"/>
    <tableColumn id="3" xr3:uid="{6EAC4788-E958-4208-985E-A6C825490310}" name="Prix " dataDxf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FA8E93E-1520-4140-9E50-7024CDCBEEBB}" name="Table1" displayName="Table1" ref="B8:E9" insertRow="1" totalsRowShown="0" headerRowDxfId="12" dataDxfId="11" tableBorderDxfId="10">
  <autoFilter ref="B8:E9" xr:uid="{EFA8E93E-1520-4140-9E50-7024CDCBEEBB}"/>
  <tableColumns count="4">
    <tableColumn id="1" xr3:uid="{A59BA70E-5F50-4F93-9B36-AC329F3783F4}" name="Article" dataDxfId="9"/>
    <tableColumn id="2" xr3:uid="{05280402-6D29-4331-9774-AFAA52924CF8}" name="Coût unitaire" dataDxfId="8"/>
    <tableColumn id="3" xr3:uid="{B2984371-197F-4C6D-A1BA-86F1DE17B2A9}" name="Quantité" dataDxfId="7"/>
    <tableColumn id="4" xr3:uid="{5A4B1ED4-801C-48C2-BACA-FD32EAA43EAE}" name="Total" dataDxfId="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4B0AC8F-C59E-4FC8-9731-93B4EFBD7C48}" name="Tableau2" displayName="Tableau2" ref="A1:D18" totalsRowShown="0" headerRowDxfId="5" tableBorderDxfId="4">
  <autoFilter ref="A1:D18" xr:uid="{A4B0AC8F-C59E-4FC8-9731-93B4EFBD7C48}"/>
  <tableColumns count="4">
    <tableColumn id="1" xr3:uid="{79A9BBFB-1518-45B0-96A8-3A31D4E833C7}" name="Date" dataDxfId="3"/>
    <tableColumn id="2" xr3:uid="{7EC48AED-1665-4BA7-BE3E-44B1440F00EE}" name="Nom du client" dataDxfId="2"/>
    <tableColumn id="3" xr3:uid="{30C75EDB-B506-4C87-B080-5A6E71575F39}" name="Montant" dataDxfId="1"/>
    <tableColumn id="4" xr3:uid="{2D971EF0-01FD-459D-8129-612184E907CE}" name="Mode de paiement"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Chronologie_Date" xr10:uid="{4152379A-C8DD-43FB-BB90-5DDB49B83C99}" sourceName="[Plage].[Date]">
  <pivotTables>
    <pivotTable tabId="5" name="Tableau croisé dynamique3"/>
    <pivotTable tabId="5" name="Tableau croisé dynamique1"/>
  </pivotTables>
  <state minimalRefreshVersion="6" lastRefreshVersion="6" pivotCacheId="496912046" filterType="unknown">
    <bounds startDate="2023-01-01T00:00:00" endDate="2024-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B5C93444-3E28-4F99-ACF8-9F450C6E389B}" cache="Chronologie_Date" caption="Date" level="2" selectionLevel="2" scrollPosition="2023-06-16T00:00:00" style="TimeSlicerStyleLight6"/>
</timeline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11/relationships/timeline" Target="../timelines/timeline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3.xml"/><Relationship Id="rId4"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19D8E-E1E1-428A-81A1-C143BE87EF4E}">
  <sheetPr codeName="Sheet1"/>
  <dimension ref="A1:P28"/>
  <sheetViews>
    <sheetView tabSelected="1" topLeftCell="A2" zoomScale="94" zoomScaleNormal="94" workbookViewId="0">
      <selection activeCell="L7" sqref="L7"/>
    </sheetView>
  </sheetViews>
  <sheetFormatPr defaultColWidth="8.88671875" defaultRowHeight="14.4" x14ac:dyDescent="0.3"/>
  <sheetData>
    <row r="1" spans="1:16" ht="14.4" customHeight="1" x14ac:dyDescent="0.3">
      <c r="A1" s="50"/>
      <c r="B1" s="50"/>
      <c r="C1" s="86"/>
      <c r="D1" s="86"/>
      <c r="E1" s="86"/>
      <c r="F1" s="86"/>
      <c r="G1" s="86"/>
      <c r="H1" s="86"/>
      <c r="I1" s="86"/>
      <c r="J1" s="86"/>
      <c r="K1" s="86"/>
      <c r="L1" s="86"/>
      <c r="M1" s="86"/>
      <c r="N1" s="86"/>
      <c r="O1" s="86"/>
      <c r="P1" s="86"/>
    </row>
    <row r="2" spans="1:16" ht="15" customHeight="1" x14ac:dyDescent="0.4">
      <c r="A2" s="50"/>
      <c r="B2" s="50"/>
      <c r="C2" s="88" t="s">
        <v>142</v>
      </c>
      <c r="D2" s="88"/>
      <c r="E2" s="88"/>
      <c r="F2" s="88"/>
      <c r="G2" s="88"/>
      <c r="H2" s="88"/>
      <c r="I2" s="88"/>
      <c r="J2" s="88"/>
      <c r="K2" s="88"/>
      <c r="L2" s="88"/>
      <c r="M2" s="88"/>
      <c r="N2" s="88"/>
      <c r="O2" s="88"/>
      <c r="P2" s="89"/>
    </row>
    <row r="3" spans="1:16" ht="15" customHeight="1" x14ac:dyDescent="0.4">
      <c r="A3" s="50"/>
      <c r="B3" s="50"/>
      <c r="C3" s="90" t="s">
        <v>139</v>
      </c>
      <c r="D3" s="90"/>
      <c r="E3" s="90"/>
      <c r="F3" s="90"/>
      <c r="G3" s="90"/>
      <c r="H3" s="90"/>
      <c r="I3" s="90"/>
      <c r="J3" s="90"/>
      <c r="K3" s="90"/>
      <c r="L3" s="90"/>
      <c r="M3" s="90"/>
      <c r="N3" s="90"/>
      <c r="O3" s="90"/>
      <c r="P3" s="91"/>
    </row>
    <row r="4" spans="1:16" ht="14.4" customHeight="1" x14ac:dyDescent="0.4">
      <c r="A4" s="50"/>
      <c r="B4" s="50"/>
      <c r="C4" s="90" t="s">
        <v>140</v>
      </c>
      <c r="D4" s="90"/>
      <c r="E4" s="90"/>
      <c r="F4" s="90"/>
      <c r="G4" s="90"/>
      <c r="H4" s="90"/>
      <c r="I4" s="90"/>
      <c r="J4" s="90"/>
      <c r="K4" s="90"/>
      <c r="L4" s="90"/>
      <c r="M4" s="90"/>
      <c r="N4" s="90"/>
      <c r="O4" s="90"/>
      <c r="P4" s="91"/>
    </row>
    <row r="5" spans="1:16" ht="14.4" customHeight="1" x14ac:dyDescent="0.4">
      <c r="A5" s="50"/>
      <c r="B5" s="50"/>
      <c r="C5" s="90" t="s">
        <v>141</v>
      </c>
      <c r="D5" s="90"/>
      <c r="E5" s="90"/>
      <c r="F5" s="90"/>
      <c r="G5" s="90"/>
      <c r="H5" s="90"/>
      <c r="I5" s="90"/>
      <c r="J5" s="90"/>
      <c r="K5" s="90"/>
      <c r="L5" s="90"/>
      <c r="M5" s="90"/>
      <c r="N5" s="90"/>
      <c r="O5" s="90"/>
      <c r="P5" s="91"/>
    </row>
    <row r="6" spans="1:16" ht="14.4" customHeight="1" x14ac:dyDescent="0.3">
      <c r="A6" s="50"/>
      <c r="B6" s="50"/>
      <c r="C6" s="50"/>
      <c r="D6" s="50"/>
      <c r="E6" s="50"/>
      <c r="F6" s="50"/>
      <c r="G6" s="50"/>
      <c r="H6" s="50"/>
      <c r="I6" s="50"/>
      <c r="J6" s="50"/>
      <c r="K6" s="50"/>
      <c r="L6" s="50"/>
      <c r="M6" s="50"/>
      <c r="N6" s="50"/>
      <c r="O6" s="50"/>
      <c r="P6" s="50"/>
    </row>
    <row r="7" spans="1:16" x14ac:dyDescent="0.3">
      <c r="A7" s="50"/>
      <c r="B7" s="50"/>
      <c r="C7" s="50"/>
      <c r="D7" s="50"/>
      <c r="E7" s="50"/>
      <c r="F7" s="50"/>
      <c r="G7" s="50"/>
      <c r="H7" s="50"/>
      <c r="I7" s="50"/>
      <c r="J7" s="50"/>
      <c r="K7" s="50"/>
      <c r="L7" s="50"/>
      <c r="M7" s="50"/>
      <c r="N7" s="50"/>
      <c r="O7" s="50"/>
      <c r="P7" s="50"/>
    </row>
    <row r="8" spans="1:16" x14ac:dyDescent="0.3">
      <c r="A8" s="50"/>
      <c r="B8" s="50"/>
      <c r="C8" s="50"/>
      <c r="D8" s="50"/>
      <c r="E8" s="50"/>
      <c r="F8" s="50"/>
      <c r="G8" s="50"/>
      <c r="H8" s="50"/>
      <c r="I8" s="50"/>
      <c r="J8" s="50"/>
      <c r="K8" s="50"/>
      <c r="L8" s="50"/>
      <c r="M8" s="50"/>
      <c r="N8" s="50"/>
      <c r="O8" s="50"/>
      <c r="P8" s="50"/>
    </row>
    <row r="9" spans="1:16" ht="23.4" x14ac:dyDescent="0.45">
      <c r="A9" s="50"/>
      <c r="B9" s="50"/>
      <c r="C9" s="50"/>
      <c r="D9" s="51" t="s">
        <v>159</v>
      </c>
      <c r="E9" s="50"/>
      <c r="F9" s="50"/>
      <c r="G9" s="50"/>
      <c r="H9" s="50"/>
      <c r="I9" s="50"/>
      <c r="J9" s="50"/>
      <c r="K9" s="50"/>
      <c r="L9" s="50"/>
      <c r="M9" s="50"/>
      <c r="N9" s="50"/>
      <c r="O9" s="50"/>
      <c r="P9" s="50"/>
    </row>
    <row r="10" spans="1:16" ht="23.4" x14ac:dyDescent="0.45">
      <c r="A10" s="50"/>
      <c r="B10" s="50"/>
      <c r="C10" s="50"/>
      <c r="D10" s="51" t="s">
        <v>101</v>
      </c>
      <c r="E10" s="52"/>
      <c r="F10" s="52"/>
      <c r="G10" s="52"/>
      <c r="H10" s="52"/>
      <c r="I10" s="52"/>
      <c r="J10" s="52"/>
      <c r="K10" s="52"/>
      <c r="L10" s="52"/>
      <c r="M10" s="52"/>
      <c r="N10" s="50"/>
      <c r="O10" s="50"/>
      <c r="P10" s="50"/>
    </row>
    <row r="11" spans="1:16" x14ac:dyDescent="0.3">
      <c r="A11" s="50"/>
      <c r="B11" s="50"/>
      <c r="C11" s="50"/>
      <c r="D11" s="50"/>
      <c r="E11" s="50"/>
      <c r="F11" s="50"/>
      <c r="G11" s="50"/>
      <c r="H11" s="50"/>
      <c r="I11" s="50"/>
      <c r="J11" s="50"/>
      <c r="K11" s="50"/>
      <c r="L11" s="50"/>
      <c r="M11" s="50"/>
      <c r="N11" s="50"/>
      <c r="O11" s="50"/>
      <c r="P11" s="50"/>
    </row>
    <row r="12" spans="1:16" x14ac:dyDescent="0.3">
      <c r="A12" s="50"/>
      <c r="B12" s="50"/>
      <c r="C12" s="50"/>
      <c r="D12" s="87"/>
      <c r="E12" s="87"/>
      <c r="F12" s="87"/>
      <c r="G12" s="87"/>
      <c r="H12" s="87"/>
      <c r="I12" s="87"/>
      <c r="J12" s="87"/>
      <c r="K12" s="87"/>
      <c r="L12" s="50"/>
      <c r="M12" s="50"/>
      <c r="N12" s="50"/>
      <c r="O12" s="50"/>
      <c r="P12" s="50"/>
    </row>
    <row r="13" spans="1:16" x14ac:dyDescent="0.3">
      <c r="A13" s="50"/>
      <c r="B13" s="50"/>
      <c r="C13" s="50"/>
      <c r="D13" s="87"/>
      <c r="E13" s="87"/>
      <c r="F13" s="87"/>
      <c r="G13" s="87"/>
      <c r="H13" s="87"/>
      <c r="I13" s="87"/>
      <c r="J13" s="87"/>
      <c r="K13" s="87"/>
      <c r="L13" s="50"/>
      <c r="M13" s="50"/>
      <c r="N13" s="50"/>
      <c r="O13" s="50"/>
      <c r="P13" s="50"/>
    </row>
    <row r="14" spans="1:16" x14ac:dyDescent="0.3">
      <c r="A14" s="50"/>
      <c r="B14" s="50"/>
      <c r="C14" s="50"/>
      <c r="D14" s="87"/>
      <c r="E14" s="87"/>
      <c r="F14" s="87"/>
      <c r="G14" s="87"/>
      <c r="H14" s="87"/>
      <c r="I14" s="87"/>
      <c r="J14" s="87"/>
      <c r="K14" s="87"/>
      <c r="L14" s="50"/>
      <c r="M14" s="50"/>
      <c r="N14" s="50"/>
      <c r="O14" s="50"/>
      <c r="P14" s="50"/>
    </row>
    <row r="15" spans="1:16" x14ac:dyDescent="0.3">
      <c r="A15" s="50"/>
      <c r="B15" s="50"/>
      <c r="C15" s="50"/>
      <c r="D15" s="87"/>
      <c r="E15" s="87"/>
      <c r="F15" s="87"/>
      <c r="G15" s="87"/>
      <c r="H15" s="87"/>
      <c r="I15" s="87"/>
      <c r="J15" s="87"/>
      <c r="K15" s="87"/>
      <c r="L15" s="50"/>
      <c r="M15" s="50"/>
      <c r="N15" s="50"/>
      <c r="O15" s="50"/>
      <c r="P15" s="50"/>
    </row>
    <row r="16" spans="1:16" x14ac:dyDescent="0.3">
      <c r="A16" s="50"/>
      <c r="B16" s="50"/>
      <c r="C16" s="50"/>
      <c r="D16" s="87"/>
      <c r="E16" s="87"/>
      <c r="F16" s="87"/>
      <c r="G16" s="87"/>
      <c r="H16" s="87"/>
      <c r="I16" s="87"/>
      <c r="J16" s="87"/>
      <c r="K16" s="87"/>
      <c r="L16" s="50"/>
      <c r="M16" s="50"/>
      <c r="N16" s="50"/>
      <c r="O16" s="50"/>
      <c r="P16" s="50"/>
    </row>
    <row r="17" spans="1:16" x14ac:dyDescent="0.3">
      <c r="A17" s="50"/>
      <c r="B17" s="50"/>
      <c r="C17" s="50"/>
      <c r="D17" s="50"/>
      <c r="E17" s="50"/>
      <c r="F17" s="50"/>
      <c r="G17" s="50"/>
      <c r="H17" s="50"/>
      <c r="I17" s="50"/>
      <c r="J17" s="50"/>
      <c r="K17" s="50"/>
      <c r="L17" s="50"/>
      <c r="M17" s="50"/>
      <c r="N17" s="50"/>
      <c r="O17" s="50"/>
      <c r="P17" s="50"/>
    </row>
    <row r="18" spans="1:16" x14ac:dyDescent="0.3">
      <c r="A18" s="50"/>
      <c r="B18" s="50"/>
      <c r="C18" s="50"/>
      <c r="D18" s="50"/>
      <c r="E18" s="50"/>
      <c r="F18" s="50"/>
      <c r="G18" s="50"/>
      <c r="H18" s="50"/>
      <c r="I18" s="50"/>
      <c r="J18" s="50"/>
      <c r="K18" s="50"/>
      <c r="L18" s="50"/>
      <c r="M18" s="50"/>
      <c r="N18" s="50"/>
      <c r="O18" s="50"/>
      <c r="P18" s="50"/>
    </row>
    <row r="19" spans="1:16" x14ac:dyDescent="0.3">
      <c r="A19" s="50"/>
      <c r="B19" s="50"/>
      <c r="C19" s="50"/>
      <c r="D19" s="50"/>
      <c r="E19" s="50"/>
      <c r="F19" s="50"/>
      <c r="G19" s="50"/>
      <c r="H19" s="50"/>
      <c r="I19" s="50"/>
      <c r="J19" s="50"/>
      <c r="K19" s="50"/>
      <c r="L19" s="50"/>
      <c r="M19" s="50"/>
      <c r="N19" s="50"/>
      <c r="O19" s="50"/>
      <c r="P19" s="50"/>
    </row>
    <row r="20" spans="1:16" x14ac:dyDescent="0.3">
      <c r="A20" s="50"/>
      <c r="B20" s="50"/>
      <c r="C20" s="50"/>
      <c r="D20" s="50"/>
      <c r="E20" s="50"/>
      <c r="F20" s="50"/>
      <c r="G20" s="50"/>
      <c r="H20" s="50"/>
      <c r="I20" s="50"/>
      <c r="J20" s="50"/>
      <c r="K20" s="50"/>
      <c r="L20" s="50"/>
      <c r="M20" s="50"/>
      <c r="N20" s="50"/>
      <c r="O20" s="50"/>
      <c r="P20" s="50"/>
    </row>
    <row r="21" spans="1:16" x14ac:dyDescent="0.3">
      <c r="A21" s="50"/>
      <c r="B21" s="50"/>
      <c r="C21" s="50"/>
      <c r="D21" s="50"/>
      <c r="E21" s="50"/>
      <c r="F21" s="50"/>
      <c r="G21" s="50"/>
      <c r="H21" s="50"/>
      <c r="I21" s="50"/>
      <c r="J21" s="50"/>
      <c r="K21" s="50"/>
      <c r="L21" s="50"/>
      <c r="M21" s="50"/>
      <c r="N21" s="50"/>
      <c r="O21" s="50"/>
      <c r="P21" s="50"/>
    </row>
    <row r="22" spans="1:16" x14ac:dyDescent="0.3">
      <c r="A22" s="50"/>
      <c r="B22" s="50"/>
      <c r="C22" s="50"/>
      <c r="D22" s="50"/>
      <c r="E22" s="50"/>
      <c r="F22" s="50"/>
      <c r="G22" s="50"/>
      <c r="H22" s="50"/>
      <c r="I22" s="50"/>
      <c r="J22" s="50"/>
      <c r="K22" s="50"/>
      <c r="L22" s="50"/>
      <c r="M22" s="50"/>
      <c r="N22" s="50"/>
      <c r="O22" s="50"/>
      <c r="P22" s="50"/>
    </row>
    <row r="23" spans="1:16" x14ac:dyDescent="0.3">
      <c r="A23" s="50"/>
      <c r="B23" s="50"/>
      <c r="C23" s="50"/>
      <c r="D23" s="50"/>
      <c r="E23" s="50"/>
      <c r="F23" s="50"/>
      <c r="G23" s="50"/>
      <c r="H23" s="50"/>
      <c r="I23" s="50"/>
      <c r="J23" s="50"/>
      <c r="K23" s="50"/>
      <c r="L23" s="50"/>
      <c r="M23" s="50"/>
      <c r="N23" s="50"/>
      <c r="O23" s="50"/>
      <c r="P23" s="50"/>
    </row>
    <row r="24" spans="1:16" x14ac:dyDescent="0.3">
      <c r="A24" s="50"/>
      <c r="B24" s="50"/>
      <c r="C24" s="50"/>
      <c r="D24" s="50"/>
      <c r="E24" s="50"/>
      <c r="F24" s="50"/>
      <c r="G24" s="50"/>
      <c r="H24" s="50"/>
      <c r="I24" s="50"/>
      <c r="J24" s="50"/>
      <c r="K24" s="50"/>
      <c r="L24" s="50"/>
      <c r="M24" s="50"/>
      <c r="N24" s="50"/>
      <c r="O24" s="50"/>
      <c r="P24" s="50"/>
    </row>
    <row r="25" spans="1:16" x14ac:dyDescent="0.3">
      <c r="A25" s="50"/>
      <c r="B25" s="50"/>
      <c r="C25" s="50"/>
      <c r="D25" s="50"/>
      <c r="E25" s="50"/>
      <c r="F25" s="50"/>
      <c r="G25" s="50"/>
      <c r="H25" s="50"/>
      <c r="I25" s="50"/>
      <c r="J25" s="50"/>
      <c r="K25" s="50"/>
      <c r="L25" s="50"/>
      <c r="M25" s="50"/>
      <c r="N25" s="50"/>
      <c r="O25" s="50"/>
      <c r="P25" s="50"/>
    </row>
    <row r="26" spans="1:16" x14ac:dyDescent="0.3">
      <c r="A26" s="50"/>
      <c r="B26" s="50"/>
      <c r="C26" s="50"/>
      <c r="D26" s="50"/>
      <c r="E26" s="50"/>
      <c r="F26" s="50"/>
      <c r="G26" s="50"/>
      <c r="H26" s="50"/>
      <c r="I26" s="50"/>
      <c r="J26" s="50"/>
      <c r="K26" s="50"/>
      <c r="L26" s="50"/>
      <c r="M26" s="50"/>
      <c r="N26" s="50"/>
      <c r="O26" s="50"/>
      <c r="P26" s="50"/>
    </row>
    <row r="27" spans="1:16" x14ac:dyDescent="0.3">
      <c r="A27" s="50"/>
      <c r="B27" s="50"/>
      <c r="C27" s="50"/>
      <c r="D27" s="50"/>
      <c r="E27" s="50"/>
      <c r="F27" s="50"/>
      <c r="G27" s="50"/>
      <c r="H27" s="50"/>
      <c r="I27" s="50"/>
      <c r="J27" s="50"/>
      <c r="K27" s="50"/>
      <c r="L27" s="50"/>
      <c r="M27" s="50"/>
      <c r="N27" s="50"/>
      <c r="O27" s="50"/>
      <c r="P27" s="50"/>
    </row>
    <row r="28" spans="1:16" x14ac:dyDescent="0.3">
      <c r="A28" s="50"/>
      <c r="B28" s="50"/>
      <c r="C28" s="50"/>
      <c r="D28" s="50"/>
      <c r="E28" s="50"/>
      <c r="F28" s="50"/>
      <c r="G28" s="50"/>
      <c r="H28" s="50"/>
      <c r="I28" s="50"/>
      <c r="J28" s="50"/>
      <c r="K28" s="50"/>
      <c r="L28" s="50"/>
      <c r="M28" s="50"/>
      <c r="N28" s="50"/>
      <c r="O28" s="50"/>
      <c r="P28" s="50"/>
    </row>
  </sheetData>
  <mergeCells count="6">
    <mergeCell ref="C1:P1"/>
    <mergeCell ref="D12:K16"/>
    <mergeCell ref="C2:P2"/>
    <mergeCell ref="C3:P3"/>
    <mergeCell ref="C4:P4"/>
    <mergeCell ref="C5:P5"/>
  </mergeCells>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C4D32-FD46-492F-995F-92579FA50340}">
  <sheetPr codeName="Sheet6"/>
  <dimension ref="A1:D15"/>
  <sheetViews>
    <sheetView workbookViewId="0">
      <selection activeCell="G1" sqref="G1"/>
    </sheetView>
  </sheetViews>
  <sheetFormatPr defaultColWidth="8.88671875" defaultRowHeight="14.4" x14ac:dyDescent="0.3"/>
  <cols>
    <col min="1" max="1" width="22.5546875" bestFit="1" customWidth="1"/>
    <col min="2" max="2" width="21" bestFit="1" customWidth="1"/>
    <col min="3" max="3" width="58.109375" customWidth="1"/>
    <col min="4" max="4" width="18.77734375" bestFit="1" customWidth="1"/>
  </cols>
  <sheetData>
    <row r="1" spans="1:4" ht="25.8" x14ac:dyDescent="0.5">
      <c r="A1" s="55" t="s">
        <v>102</v>
      </c>
      <c r="B1" s="55" t="s">
        <v>103</v>
      </c>
      <c r="C1" s="55" t="s">
        <v>126</v>
      </c>
      <c r="D1" s="55" t="s">
        <v>104</v>
      </c>
    </row>
    <row r="2" spans="1:4" ht="21" x14ac:dyDescent="0.4">
      <c r="A2" s="14" t="s">
        <v>127</v>
      </c>
      <c r="B2" s="36" t="s">
        <v>115</v>
      </c>
      <c r="C2" s="14">
        <v>40</v>
      </c>
      <c r="D2" s="47">
        <v>720</v>
      </c>
    </row>
    <row r="3" spans="1:4" ht="21" x14ac:dyDescent="0.4">
      <c r="A3" s="14" t="s">
        <v>128</v>
      </c>
      <c r="B3" s="36" t="s">
        <v>116</v>
      </c>
      <c r="C3" s="14">
        <v>40</v>
      </c>
      <c r="D3" s="47">
        <v>800</v>
      </c>
    </row>
    <row r="4" spans="1:4" ht="21" x14ac:dyDescent="0.4">
      <c r="A4" s="14" t="s">
        <v>129</v>
      </c>
      <c r="B4" s="36" t="s">
        <v>118</v>
      </c>
      <c r="C4" s="14">
        <v>40</v>
      </c>
      <c r="D4" s="47">
        <v>1600</v>
      </c>
    </row>
    <row r="5" spans="1:4" ht="21" x14ac:dyDescent="0.4">
      <c r="A5" s="14" t="s">
        <v>130</v>
      </c>
      <c r="B5" s="36" t="s">
        <v>119</v>
      </c>
      <c r="C5" s="14">
        <v>40</v>
      </c>
      <c r="D5" s="47">
        <v>880</v>
      </c>
    </row>
    <row r="6" spans="1:4" ht="21" x14ac:dyDescent="0.4">
      <c r="A6" s="14" t="s">
        <v>131</v>
      </c>
      <c r="B6" s="36" t="s">
        <v>124</v>
      </c>
      <c r="C6" s="14">
        <v>40</v>
      </c>
      <c r="D6" s="47">
        <v>920</v>
      </c>
    </row>
    <row r="7" spans="1:4" ht="21" x14ac:dyDescent="0.4">
      <c r="A7" s="14" t="s">
        <v>132</v>
      </c>
      <c r="B7" s="36" t="s">
        <v>125</v>
      </c>
      <c r="C7" s="14">
        <v>40</v>
      </c>
      <c r="D7" s="47">
        <v>720</v>
      </c>
    </row>
    <row r="8" spans="1:4" ht="21" x14ac:dyDescent="0.4">
      <c r="A8" s="14" t="s">
        <v>133</v>
      </c>
      <c r="B8" s="36" t="s">
        <v>120</v>
      </c>
      <c r="C8" s="14">
        <v>40</v>
      </c>
      <c r="D8" s="47">
        <v>1000</v>
      </c>
    </row>
    <row r="9" spans="1:4" ht="21" x14ac:dyDescent="0.4">
      <c r="A9" s="14" t="s">
        <v>134</v>
      </c>
      <c r="B9" s="36" t="s">
        <v>121</v>
      </c>
      <c r="C9" s="14">
        <v>40</v>
      </c>
      <c r="D9" s="47">
        <v>1200</v>
      </c>
    </row>
    <row r="10" spans="1:4" ht="21" x14ac:dyDescent="0.4">
      <c r="A10" s="14" t="s">
        <v>135</v>
      </c>
      <c r="B10" s="36" t="s">
        <v>122</v>
      </c>
      <c r="C10" s="14">
        <v>30</v>
      </c>
      <c r="D10" s="47">
        <v>900</v>
      </c>
    </row>
    <row r="11" spans="1:4" ht="21" x14ac:dyDescent="0.4">
      <c r="A11" s="14" t="s">
        <v>136</v>
      </c>
      <c r="B11" s="36" t="s">
        <v>123</v>
      </c>
      <c r="C11" s="14">
        <v>38</v>
      </c>
      <c r="D11" s="47">
        <v>1216</v>
      </c>
    </row>
    <row r="12" spans="1:4" ht="21" x14ac:dyDescent="0.4">
      <c r="A12" s="14"/>
      <c r="B12" s="36"/>
      <c r="C12" s="14"/>
      <c r="D12" s="47"/>
    </row>
    <row r="13" spans="1:4" ht="21" x14ac:dyDescent="0.4">
      <c r="A13" s="14"/>
      <c r="B13" s="36"/>
      <c r="C13" s="14"/>
      <c r="D13" s="47"/>
    </row>
    <row r="14" spans="1:4" ht="21" x14ac:dyDescent="0.4">
      <c r="A14" s="14"/>
      <c r="B14" s="36"/>
      <c r="C14" s="14"/>
      <c r="D14" s="47"/>
    </row>
    <row r="15" spans="1:4" ht="21.6" thickBot="1" x14ac:dyDescent="0.45">
      <c r="A15" s="15"/>
      <c r="B15" s="49"/>
      <c r="C15" s="15"/>
      <c r="D15" s="48"/>
    </row>
  </sheetData>
  <phoneticPr fontId="5"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E5389-9B34-43B8-81DD-861BC2A052B6}">
  <sheetPr codeName="Feuil4"/>
  <dimension ref="A1:D4"/>
  <sheetViews>
    <sheetView workbookViewId="0">
      <selection activeCell="L16" sqref="L16"/>
    </sheetView>
  </sheetViews>
  <sheetFormatPr defaultColWidth="11.5546875" defaultRowHeight="14.4" x14ac:dyDescent="0.3"/>
  <cols>
    <col min="1" max="1" width="13" bestFit="1" customWidth="1"/>
    <col min="2" max="2" width="21" bestFit="1" customWidth="1"/>
    <col min="3" max="3" width="16.5546875" bestFit="1" customWidth="1"/>
    <col min="4" max="4" width="25.33203125" bestFit="1" customWidth="1"/>
  </cols>
  <sheetData>
    <row r="1" spans="1:4" x14ac:dyDescent="0.3">
      <c r="A1" s="46" t="s">
        <v>114</v>
      </c>
    </row>
    <row r="3" spans="1:4" x14ac:dyDescent="0.3">
      <c r="A3" t="s">
        <v>110</v>
      </c>
      <c r="B3" t="s">
        <v>111</v>
      </c>
      <c r="C3" t="s">
        <v>112</v>
      </c>
      <c r="D3" t="s">
        <v>113</v>
      </c>
    </row>
    <row r="4" spans="1:4" x14ac:dyDescent="0.3">
      <c r="A4" s="3">
        <v>45032</v>
      </c>
      <c r="B4" t="s">
        <v>108</v>
      </c>
      <c r="C4">
        <v>361.64</v>
      </c>
      <c r="D4" t="s">
        <v>105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6D0EA4-62B6-4E85-B8F1-F03EFEFA66D6}">
  <sheetPr codeName="Sheet4"/>
  <dimension ref="A1:I58"/>
  <sheetViews>
    <sheetView zoomScale="83" zoomScaleNormal="83" workbookViewId="0">
      <selection activeCell="A5" sqref="A5:I10"/>
    </sheetView>
  </sheetViews>
  <sheetFormatPr defaultColWidth="8.88671875" defaultRowHeight="14.4" x14ac:dyDescent="0.3"/>
  <cols>
    <col min="1" max="1" width="21.88671875" bestFit="1" customWidth="1"/>
    <col min="2" max="2" width="24.109375" bestFit="1" customWidth="1"/>
    <col min="3" max="3" width="20.33203125" bestFit="1" customWidth="1"/>
    <col min="4" max="4" width="19.77734375" bestFit="1" customWidth="1"/>
    <col min="5" max="5" width="20.33203125" bestFit="1" customWidth="1"/>
    <col min="6" max="6" width="18.77734375" bestFit="1" customWidth="1"/>
    <col min="7" max="7" width="18.88671875" bestFit="1" customWidth="1"/>
    <col min="8" max="8" width="43.109375" bestFit="1" customWidth="1"/>
    <col min="9" max="9" width="20.6640625" bestFit="1" customWidth="1"/>
    <col min="10" max="10" width="16.109375" bestFit="1" customWidth="1"/>
    <col min="11" max="12" width="7" bestFit="1" customWidth="1"/>
    <col min="13" max="17" width="8" bestFit="1" customWidth="1"/>
    <col min="18" max="18" width="10.77734375" bestFit="1" customWidth="1"/>
  </cols>
  <sheetData>
    <row r="1" spans="1:9" x14ac:dyDescent="0.3">
      <c r="I1" s="68"/>
    </row>
    <row r="2" spans="1:9" ht="22.2" customHeight="1" x14ac:dyDescent="0.3">
      <c r="A2" s="68"/>
      <c r="B2" s="68"/>
      <c r="C2" s="68"/>
      <c r="D2" s="68"/>
      <c r="E2" s="68"/>
      <c r="F2" s="68"/>
      <c r="G2" s="68"/>
      <c r="H2" s="68"/>
      <c r="I2" s="68"/>
    </row>
    <row r="3" spans="1:9" x14ac:dyDescent="0.3">
      <c r="A3" s="68"/>
      <c r="B3" s="68"/>
      <c r="C3" s="68"/>
      <c r="D3" s="68"/>
      <c r="E3" s="68"/>
      <c r="F3" s="68"/>
      <c r="G3" s="68"/>
      <c r="H3" s="68"/>
      <c r="I3" s="68"/>
    </row>
    <row r="4" spans="1:9" x14ac:dyDescent="0.3">
      <c r="A4" s="68"/>
      <c r="B4" s="68"/>
      <c r="C4" s="68"/>
      <c r="D4" s="68"/>
      <c r="E4" s="68"/>
      <c r="F4" s="68"/>
      <c r="G4" s="68"/>
      <c r="H4" s="68"/>
      <c r="I4" s="68"/>
    </row>
    <row r="5" spans="1:9" x14ac:dyDescent="0.3">
      <c r="A5" s="92" t="s">
        <v>158</v>
      </c>
      <c r="B5" s="93"/>
      <c r="C5" s="93"/>
      <c r="D5" s="93"/>
      <c r="E5" s="93"/>
      <c r="F5" s="93"/>
      <c r="G5" s="93"/>
      <c r="H5" s="93"/>
      <c r="I5" s="93"/>
    </row>
    <row r="6" spans="1:9" x14ac:dyDescent="0.3">
      <c r="A6" s="93"/>
      <c r="B6" s="93"/>
      <c r="C6" s="93"/>
      <c r="D6" s="93"/>
      <c r="E6" s="93"/>
      <c r="F6" s="93"/>
      <c r="G6" s="93"/>
      <c r="H6" s="93"/>
      <c r="I6" s="93"/>
    </row>
    <row r="7" spans="1:9" x14ac:dyDescent="0.3">
      <c r="A7" s="93"/>
      <c r="B7" s="93"/>
      <c r="C7" s="93"/>
      <c r="D7" s="93"/>
      <c r="E7" s="93"/>
      <c r="F7" s="93"/>
      <c r="G7" s="93"/>
      <c r="H7" s="93"/>
      <c r="I7" s="93"/>
    </row>
    <row r="8" spans="1:9" x14ac:dyDescent="0.3">
      <c r="A8" s="93"/>
      <c r="B8" s="93"/>
      <c r="C8" s="93"/>
      <c r="D8" s="93"/>
      <c r="E8" s="93"/>
      <c r="F8" s="93"/>
      <c r="G8" s="93"/>
      <c r="H8" s="93"/>
      <c r="I8" s="93"/>
    </row>
    <row r="9" spans="1:9" x14ac:dyDescent="0.3">
      <c r="A9" s="93"/>
      <c r="B9" s="93"/>
      <c r="C9" s="93"/>
      <c r="D9" s="93"/>
      <c r="E9" s="93"/>
      <c r="F9" s="93"/>
      <c r="G9" s="93"/>
      <c r="H9" s="93"/>
      <c r="I9" s="93"/>
    </row>
    <row r="10" spans="1:9" ht="15" thickBot="1" x14ac:dyDescent="0.35">
      <c r="A10" s="93"/>
      <c r="B10" s="93"/>
      <c r="C10" s="93"/>
      <c r="D10" s="93"/>
      <c r="E10" s="93"/>
      <c r="F10" s="93"/>
      <c r="G10" s="93"/>
      <c r="H10" s="93"/>
      <c r="I10" s="93"/>
    </row>
    <row r="11" spans="1:9" ht="18.600000000000001" thickBot="1" x14ac:dyDescent="0.4">
      <c r="A11" s="69" t="s">
        <v>9</v>
      </c>
      <c r="B11" s="69" t="s">
        <v>109</v>
      </c>
      <c r="C11" s="83" t="s">
        <v>155</v>
      </c>
      <c r="D11" s="70" t="s">
        <v>157</v>
      </c>
      <c r="E11" s="71" t="s">
        <v>137</v>
      </c>
      <c r="F11" s="69" t="s">
        <v>154</v>
      </c>
      <c r="G11" s="82" t="s">
        <v>117</v>
      </c>
      <c r="H11" s="76"/>
      <c r="I11" s="76"/>
    </row>
    <row r="12" spans="1:9" ht="18" x14ac:dyDescent="0.35">
      <c r="A12" s="77" t="s">
        <v>7</v>
      </c>
      <c r="B12" s="78">
        <v>21</v>
      </c>
      <c r="C12" s="80" t="s">
        <v>136</v>
      </c>
      <c r="D12" s="85">
        <v>38</v>
      </c>
      <c r="E12" s="85">
        <v>1216</v>
      </c>
      <c r="F12" s="79" t="s">
        <v>150</v>
      </c>
      <c r="G12" s="78">
        <v>964.36</v>
      </c>
      <c r="H12" s="76"/>
      <c r="I12" s="76"/>
    </row>
    <row r="13" spans="1:9" ht="18" x14ac:dyDescent="0.35">
      <c r="A13" s="77" t="s">
        <v>16</v>
      </c>
      <c r="B13" s="78">
        <v>17</v>
      </c>
      <c r="C13" s="81" t="s">
        <v>131</v>
      </c>
      <c r="D13" s="85">
        <v>40</v>
      </c>
      <c r="E13" s="85">
        <v>920</v>
      </c>
      <c r="F13" s="77" t="s">
        <v>151</v>
      </c>
      <c r="G13" s="78">
        <v>563.46</v>
      </c>
      <c r="H13" s="76"/>
      <c r="I13" s="76"/>
    </row>
    <row r="14" spans="1:9" ht="18" x14ac:dyDescent="0.35">
      <c r="A14" s="77" t="s">
        <v>19</v>
      </c>
      <c r="B14" s="78">
        <v>5</v>
      </c>
      <c r="C14" s="81" t="s">
        <v>132</v>
      </c>
      <c r="D14" s="85">
        <v>40</v>
      </c>
      <c r="E14" s="85">
        <v>720</v>
      </c>
      <c r="F14" s="77" t="s">
        <v>152</v>
      </c>
      <c r="G14" s="78">
        <v>889.19</v>
      </c>
      <c r="H14" s="76"/>
      <c r="I14" s="76"/>
    </row>
    <row r="15" spans="1:9" ht="18" x14ac:dyDescent="0.35">
      <c r="A15" s="77" t="s">
        <v>21</v>
      </c>
      <c r="B15" s="78">
        <v>15</v>
      </c>
      <c r="C15" s="81" t="s">
        <v>130</v>
      </c>
      <c r="D15" s="85">
        <v>40</v>
      </c>
      <c r="E15" s="85">
        <v>880</v>
      </c>
      <c r="F15" s="77" t="s">
        <v>156</v>
      </c>
      <c r="G15" s="78">
        <v>1031.3</v>
      </c>
      <c r="H15" s="76"/>
      <c r="I15" s="76"/>
    </row>
    <row r="16" spans="1:9" ht="18.600000000000001" thickBot="1" x14ac:dyDescent="0.4">
      <c r="A16" s="72" t="s">
        <v>138</v>
      </c>
      <c r="B16" s="73">
        <v>58</v>
      </c>
      <c r="C16" s="81" t="s">
        <v>129</v>
      </c>
      <c r="D16" s="85">
        <v>40</v>
      </c>
      <c r="E16" s="85">
        <v>1600</v>
      </c>
      <c r="F16" s="72" t="s">
        <v>147</v>
      </c>
      <c r="G16" s="78">
        <v>1257.71</v>
      </c>
      <c r="H16" s="76"/>
      <c r="I16" s="76"/>
    </row>
    <row r="17" spans="1:9" ht="18.600000000000001" thickBot="1" x14ac:dyDescent="0.4">
      <c r="A17" s="76"/>
      <c r="B17" s="76"/>
      <c r="C17" s="81" t="s">
        <v>135</v>
      </c>
      <c r="D17" s="85">
        <v>30</v>
      </c>
      <c r="E17" s="85">
        <v>900</v>
      </c>
      <c r="F17" s="74" t="s">
        <v>138</v>
      </c>
      <c r="G17" s="73">
        <v>4706.0200000000004</v>
      </c>
      <c r="H17" s="76"/>
      <c r="I17" s="76"/>
    </row>
    <row r="18" spans="1:9" ht="18" x14ac:dyDescent="0.35">
      <c r="A18" s="76"/>
      <c r="B18" s="76"/>
      <c r="C18" s="81" t="s">
        <v>128</v>
      </c>
      <c r="D18" s="85">
        <v>40</v>
      </c>
      <c r="E18" s="85">
        <v>800</v>
      </c>
      <c r="F18" s="76"/>
      <c r="G18" s="76"/>
      <c r="H18" s="76"/>
      <c r="I18" s="76"/>
    </row>
    <row r="19" spans="1:9" ht="18" x14ac:dyDescent="0.35">
      <c r="A19" s="76"/>
      <c r="B19" s="76"/>
      <c r="C19" s="81" t="s">
        <v>134</v>
      </c>
      <c r="D19" s="85">
        <v>40</v>
      </c>
      <c r="E19" s="85">
        <v>1200</v>
      </c>
      <c r="F19" s="76"/>
      <c r="G19" s="76"/>
      <c r="H19" s="76"/>
      <c r="I19" s="76"/>
    </row>
    <row r="20" spans="1:9" ht="18" x14ac:dyDescent="0.35">
      <c r="A20" s="76"/>
      <c r="B20" s="76"/>
      <c r="C20" s="81" t="s">
        <v>127</v>
      </c>
      <c r="D20" s="85">
        <v>40</v>
      </c>
      <c r="E20" s="85">
        <v>720</v>
      </c>
      <c r="F20" s="76"/>
      <c r="G20" s="76"/>
      <c r="H20" s="76"/>
      <c r="I20" s="76"/>
    </row>
    <row r="21" spans="1:9" ht="18.600000000000001" thickBot="1" x14ac:dyDescent="0.4">
      <c r="A21" s="76"/>
      <c r="B21" s="76"/>
      <c r="C21" s="75" t="s">
        <v>133</v>
      </c>
      <c r="D21" s="85">
        <v>40</v>
      </c>
      <c r="E21" s="85">
        <v>1000</v>
      </c>
      <c r="F21" s="76"/>
      <c r="G21" s="76"/>
      <c r="H21" s="76"/>
      <c r="I21" s="76"/>
    </row>
    <row r="22" spans="1:9" ht="18.600000000000001" thickBot="1" x14ac:dyDescent="0.4">
      <c r="A22" s="76"/>
      <c r="B22" s="76"/>
      <c r="C22" s="83" t="s">
        <v>138</v>
      </c>
      <c r="D22" s="84">
        <v>388</v>
      </c>
      <c r="E22" s="84">
        <v>9956</v>
      </c>
      <c r="F22" s="76"/>
      <c r="G22" s="76"/>
      <c r="H22" s="76"/>
      <c r="I22" s="76"/>
    </row>
    <row r="23" spans="1:9" x14ac:dyDescent="0.3">
      <c r="A23" s="76"/>
      <c r="B23" s="76"/>
      <c r="C23" s="76"/>
      <c r="D23" s="76"/>
      <c r="E23" s="76"/>
      <c r="F23" s="76"/>
      <c r="G23" s="76"/>
      <c r="H23" s="76"/>
      <c r="I23" s="76"/>
    </row>
    <row r="41" spans="1:9" x14ac:dyDescent="0.3">
      <c r="A41" s="68"/>
      <c r="B41" s="68"/>
      <c r="C41" s="68"/>
      <c r="D41" s="68"/>
      <c r="E41" s="68"/>
      <c r="F41" s="68"/>
      <c r="G41" s="68"/>
      <c r="H41" s="68"/>
      <c r="I41" s="68"/>
    </row>
    <row r="42" spans="1:9" x14ac:dyDescent="0.3">
      <c r="A42" s="68"/>
      <c r="B42" s="68"/>
      <c r="C42" s="68"/>
      <c r="D42" s="68"/>
      <c r="E42" s="68"/>
      <c r="F42" s="68"/>
      <c r="G42" s="68"/>
      <c r="H42" s="68"/>
      <c r="I42" s="68"/>
    </row>
    <row r="43" spans="1:9" x14ac:dyDescent="0.3">
      <c r="A43" s="68"/>
      <c r="B43" s="68"/>
      <c r="C43" s="68"/>
      <c r="D43" s="68"/>
      <c r="E43" s="68"/>
      <c r="F43" s="68"/>
      <c r="G43" s="68"/>
      <c r="H43" s="68"/>
      <c r="I43" s="68"/>
    </row>
    <row r="44" spans="1:9" x14ac:dyDescent="0.3">
      <c r="A44" s="68"/>
      <c r="B44" s="68"/>
      <c r="C44" s="68"/>
      <c r="D44" s="68"/>
      <c r="E44" s="68"/>
      <c r="F44" s="68"/>
      <c r="G44" s="68"/>
      <c r="H44" s="68"/>
      <c r="I44" s="68"/>
    </row>
    <row r="45" spans="1:9" x14ac:dyDescent="0.3">
      <c r="A45" s="68"/>
      <c r="B45" s="68"/>
      <c r="C45" s="68"/>
      <c r="D45" s="68"/>
      <c r="E45" s="68"/>
      <c r="F45" s="68"/>
      <c r="G45" s="68"/>
      <c r="H45" s="68"/>
      <c r="I45" s="68"/>
    </row>
    <row r="46" spans="1:9" x14ac:dyDescent="0.3">
      <c r="A46" s="68"/>
      <c r="B46" s="68"/>
      <c r="C46" s="68"/>
      <c r="D46" s="68"/>
      <c r="E46" s="68"/>
      <c r="F46" s="68"/>
      <c r="G46" s="68"/>
      <c r="H46" s="68"/>
      <c r="I46" s="68"/>
    </row>
    <row r="47" spans="1:9" x14ac:dyDescent="0.3">
      <c r="A47" s="68"/>
      <c r="B47" s="68"/>
      <c r="C47" s="68"/>
      <c r="D47" s="68"/>
      <c r="E47" s="68"/>
      <c r="F47" s="68"/>
      <c r="G47" s="68"/>
      <c r="H47" s="68"/>
      <c r="I47" s="68"/>
    </row>
    <row r="48" spans="1:9" x14ac:dyDescent="0.3">
      <c r="A48" s="68"/>
      <c r="B48" s="68"/>
      <c r="C48" s="68"/>
      <c r="D48" s="68"/>
      <c r="E48" s="68"/>
      <c r="F48" s="68"/>
      <c r="G48" s="68"/>
      <c r="H48" s="68"/>
      <c r="I48" s="68"/>
    </row>
    <row r="49" spans="1:9" x14ac:dyDescent="0.3">
      <c r="A49" s="68"/>
      <c r="B49" s="68"/>
      <c r="C49" s="68"/>
      <c r="D49" s="68"/>
      <c r="E49" s="68"/>
      <c r="F49" s="68"/>
      <c r="G49" s="68"/>
      <c r="H49" s="68"/>
      <c r="I49" s="68"/>
    </row>
    <row r="50" spans="1:9" x14ac:dyDescent="0.3">
      <c r="A50" s="68"/>
      <c r="B50" s="68"/>
      <c r="C50" s="68"/>
      <c r="D50" s="68"/>
      <c r="E50" s="68"/>
      <c r="F50" s="68"/>
      <c r="G50" s="68"/>
      <c r="H50" s="68"/>
      <c r="I50" s="68"/>
    </row>
    <row r="51" spans="1:9" x14ac:dyDescent="0.3">
      <c r="A51" s="68"/>
      <c r="B51" s="68"/>
      <c r="C51" s="68"/>
      <c r="D51" s="68"/>
      <c r="E51" s="68"/>
      <c r="F51" s="68"/>
      <c r="G51" s="68"/>
      <c r="H51" s="68"/>
      <c r="I51" s="68"/>
    </row>
    <row r="52" spans="1:9" x14ac:dyDescent="0.3">
      <c r="A52" s="68"/>
      <c r="B52" s="68"/>
      <c r="C52" s="68"/>
      <c r="D52" s="68"/>
      <c r="E52" s="68"/>
      <c r="F52" s="68"/>
      <c r="G52" s="68"/>
      <c r="H52" s="68"/>
      <c r="I52" s="68"/>
    </row>
    <row r="53" spans="1:9" x14ac:dyDescent="0.3">
      <c r="A53" s="68"/>
      <c r="B53" s="68"/>
      <c r="C53" s="68"/>
      <c r="D53" s="68"/>
      <c r="E53" s="68"/>
      <c r="F53" s="68"/>
      <c r="G53" s="68"/>
      <c r="H53" s="68"/>
      <c r="I53" s="68"/>
    </row>
    <row r="54" spans="1:9" x14ac:dyDescent="0.3">
      <c r="A54" s="68"/>
      <c r="B54" s="68"/>
      <c r="C54" s="68"/>
      <c r="D54" s="68"/>
      <c r="E54" s="68"/>
      <c r="F54" s="68"/>
      <c r="G54" s="68"/>
      <c r="H54" s="68"/>
      <c r="I54" s="68"/>
    </row>
    <row r="55" spans="1:9" x14ac:dyDescent="0.3">
      <c r="A55" s="68"/>
      <c r="B55" s="68"/>
      <c r="C55" s="68"/>
      <c r="D55" s="68"/>
      <c r="E55" s="68"/>
      <c r="F55" s="68"/>
      <c r="G55" s="68"/>
      <c r="H55" s="68"/>
      <c r="I55" s="68"/>
    </row>
    <row r="56" spans="1:9" x14ac:dyDescent="0.3">
      <c r="A56" s="68"/>
      <c r="B56" s="68"/>
      <c r="C56" s="68"/>
      <c r="D56" s="68"/>
      <c r="E56" s="68"/>
      <c r="F56" s="68"/>
      <c r="G56" s="68"/>
      <c r="H56" s="68"/>
      <c r="I56" s="68"/>
    </row>
    <row r="57" spans="1:9" x14ac:dyDescent="0.3">
      <c r="A57" s="68"/>
      <c r="B57" s="68"/>
      <c r="C57" s="68"/>
      <c r="D57" s="68"/>
      <c r="E57" s="68"/>
      <c r="F57" s="68"/>
      <c r="G57" s="68"/>
      <c r="H57" s="68"/>
      <c r="I57" s="68"/>
    </row>
    <row r="58" spans="1:9" x14ac:dyDescent="0.3">
      <c r="A58" s="68"/>
      <c r="B58" s="68"/>
      <c r="C58" s="68"/>
      <c r="D58" s="68"/>
      <c r="E58" s="68"/>
      <c r="F58" s="68"/>
      <c r="G58" s="68"/>
      <c r="H58" s="68"/>
      <c r="I58" s="68"/>
    </row>
  </sheetData>
  <mergeCells count="1">
    <mergeCell ref="A5:I10"/>
  </mergeCells>
  <pageMargins left="0.7" right="0.7" top="0.75" bottom="0.75" header="0.3" footer="0.3"/>
  <pageSetup orientation="portrait" horizontalDpi="1200" verticalDpi="1200" r:id="rId4"/>
  <drawing r:id="rId5"/>
  <extLst>
    <ext xmlns:x14="http://schemas.microsoft.com/office/spreadsheetml/2009/9/main" uri="{A8765BA9-456A-4dab-B4F3-ACF838C121DE}">
      <x14:slicerList>
        <x14:slicer r:id="rId6"/>
      </x14:slicerList>
    </ext>
    <ext xmlns:x15="http://schemas.microsoft.com/office/spreadsheetml/2010/11/main" uri="{7E03D99C-DC04-49d9-9315-930204A7B6E9}">
      <x15:timelineRefs>
        <x15:timelineRef r:id="rId7"/>
      </x15:timelineRef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B4F85-1CED-4589-B39E-333B5492009A}">
  <sheetPr codeName="Feuil1"/>
  <dimension ref="A1:C42"/>
  <sheetViews>
    <sheetView workbookViewId="0">
      <selection activeCell="L1" sqref="L1"/>
    </sheetView>
  </sheetViews>
  <sheetFormatPr defaultColWidth="8.88671875" defaultRowHeight="23.4" x14ac:dyDescent="0.45"/>
  <cols>
    <col min="1" max="1" width="8.44140625" style="4" bestFit="1" customWidth="1"/>
    <col min="2" max="2" width="33.109375" bestFit="1" customWidth="1"/>
    <col min="3" max="3" width="11.5546875" bestFit="1" customWidth="1"/>
    <col min="5" max="5" width="15.44140625" bestFit="1" customWidth="1"/>
    <col min="7" max="7" width="5.33203125" bestFit="1" customWidth="1"/>
    <col min="8" max="8" width="21.88671875" bestFit="1" customWidth="1"/>
  </cols>
  <sheetData>
    <row r="1" spans="1:3" ht="24" thickBot="1" x14ac:dyDescent="0.5">
      <c r="A1" s="65" t="s">
        <v>14</v>
      </c>
      <c r="B1" s="66" t="s">
        <v>31</v>
      </c>
      <c r="C1" s="67" t="s">
        <v>32</v>
      </c>
    </row>
    <row r="2" spans="1:3" x14ac:dyDescent="0.45">
      <c r="A2" s="62" t="s">
        <v>7</v>
      </c>
      <c r="B2" s="16" t="s">
        <v>33</v>
      </c>
      <c r="C2" s="17">
        <v>91.265579706264788</v>
      </c>
    </row>
    <row r="3" spans="1:3" x14ac:dyDescent="0.45">
      <c r="A3" s="63" t="s">
        <v>8</v>
      </c>
      <c r="B3" s="16" t="s">
        <v>34</v>
      </c>
      <c r="C3" s="17">
        <v>27.314147971008616</v>
      </c>
    </row>
    <row r="4" spans="1:3" x14ac:dyDescent="0.45">
      <c r="A4" s="63" t="s">
        <v>10</v>
      </c>
      <c r="B4" s="16" t="s">
        <v>35</v>
      </c>
      <c r="C4" s="17">
        <v>6.2374470247631431</v>
      </c>
    </row>
    <row r="5" spans="1:3" x14ac:dyDescent="0.45">
      <c r="A5" s="63" t="s">
        <v>15</v>
      </c>
      <c r="B5" s="16" t="s">
        <v>36</v>
      </c>
      <c r="C5" s="17">
        <v>39.960231993084086</v>
      </c>
    </row>
    <row r="6" spans="1:3" x14ac:dyDescent="0.45">
      <c r="A6" s="63" t="s">
        <v>13</v>
      </c>
      <c r="B6" s="16" t="s">
        <v>37</v>
      </c>
      <c r="C6" s="17">
        <v>4.419441915325617</v>
      </c>
    </row>
    <row r="7" spans="1:3" x14ac:dyDescent="0.45">
      <c r="A7" s="63" t="s">
        <v>16</v>
      </c>
      <c r="B7" s="16" t="s">
        <v>38</v>
      </c>
      <c r="C7" s="17">
        <v>9.3354814945423961</v>
      </c>
    </row>
    <row r="8" spans="1:3" x14ac:dyDescent="0.45">
      <c r="A8" s="63" t="s">
        <v>17</v>
      </c>
      <c r="B8" s="16" t="s">
        <v>39</v>
      </c>
      <c r="C8" s="17">
        <v>15.402657329666269</v>
      </c>
    </row>
    <row r="9" spans="1:3" x14ac:dyDescent="0.45">
      <c r="A9" s="63" t="s">
        <v>18</v>
      </c>
      <c r="B9" s="16" t="s">
        <v>40</v>
      </c>
      <c r="C9" s="17">
        <v>48.937823327617394</v>
      </c>
    </row>
    <row r="10" spans="1:3" x14ac:dyDescent="0.45">
      <c r="A10" s="63" t="s">
        <v>19</v>
      </c>
      <c r="B10" s="16" t="s">
        <v>41</v>
      </c>
      <c r="C10" s="17">
        <v>11.25470872615757</v>
      </c>
    </row>
    <row r="11" spans="1:3" x14ac:dyDescent="0.45">
      <c r="A11" s="63" t="s">
        <v>20</v>
      </c>
      <c r="B11" s="16" t="s">
        <v>42</v>
      </c>
      <c r="C11" s="17">
        <v>0.92459983954760183</v>
      </c>
    </row>
    <row r="12" spans="1:3" x14ac:dyDescent="0.45">
      <c r="A12" s="63" t="s">
        <v>21</v>
      </c>
      <c r="B12" s="16" t="s">
        <v>43</v>
      </c>
      <c r="C12" s="17">
        <v>53.338500119714126</v>
      </c>
    </row>
    <row r="13" spans="1:3" x14ac:dyDescent="0.45">
      <c r="A13" s="63" t="s">
        <v>22</v>
      </c>
      <c r="B13" s="16" t="s">
        <v>44</v>
      </c>
      <c r="C13" s="17">
        <v>49.863376483592226</v>
      </c>
    </row>
    <row r="14" spans="1:3" x14ac:dyDescent="0.45">
      <c r="A14" s="63" t="s">
        <v>23</v>
      </c>
      <c r="B14" s="16" t="s">
        <v>45</v>
      </c>
      <c r="C14" s="17">
        <v>27.099694531156359</v>
      </c>
    </row>
    <row r="15" spans="1:3" x14ac:dyDescent="0.45">
      <c r="A15" s="63" t="s">
        <v>24</v>
      </c>
      <c r="B15" s="16" t="s">
        <v>46</v>
      </c>
      <c r="C15" s="17">
        <v>59.878734447607584</v>
      </c>
    </row>
    <row r="16" spans="1:3" x14ac:dyDescent="0.45">
      <c r="A16" s="63" t="s">
        <v>25</v>
      </c>
      <c r="B16" s="16" t="s">
        <v>47</v>
      </c>
      <c r="C16" s="17">
        <v>90.484438823178806</v>
      </c>
    </row>
    <row r="17" spans="1:3" x14ac:dyDescent="0.45">
      <c r="A17" s="63" t="s">
        <v>26</v>
      </c>
      <c r="B17" s="16" t="s">
        <v>48</v>
      </c>
      <c r="C17" s="17">
        <v>50.559920794149804</v>
      </c>
    </row>
    <row r="18" spans="1:3" x14ac:dyDescent="0.45">
      <c r="A18" s="63" t="s">
        <v>27</v>
      </c>
      <c r="B18" s="16" t="s">
        <v>49</v>
      </c>
      <c r="C18" s="17">
        <v>29.184636175569313</v>
      </c>
    </row>
    <row r="19" spans="1:3" x14ac:dyDescent="0.45">
      <c r="A19" s="63" t="s">
        <v>28</v>
      </c>
      <c r="B19" s="16" t="s">
        <v>50</v>
      </c>
      <c r="C19" s="17">
        <v>28.825795491528595</v>
      </c>
    </row>
    <row r="20" spans="1:3" x14ac:dyDescent="0.45">
      <c r="A20" s="63" t="s">
        <v>29</v>
      </c>
      <c r="B20" s="16" t="s">
        <v>51</v>
      </c>
      <c r="C20" s="17">
        <v>17.502660884751752</v>
      </c>
    </row>
    <row r="21" spans="1:3" ht="24" thickBot="1" x14ac:dyDescent="0.5">
      <c r="A21" s="64" t="s">
        <v>30</v>
      </c>
      <c r="B21" s="16" t="s">
        <v>52</v>
      </c>
      <c r="C21" s="17">
        <v>55.205691443060523</v>
      </c>
    </row>
    <row r="22" spans="1:3" x14ac:dyDescent="0.45">
      <c r="A22" s="63" t="s">
        <v>53</v>
      </c>
      <c r="B22" s="16" t="s">
        <v>73</v>
      </c>
      <c r="C22" s="18">
        <v>74.61847010649268</v>
      </c>
    </row>
    <row r="23" spans="1:3" x14ac:dyDescent="0.45">
      <c r="A23" s="63" t="s">
        <v>54</v>
      </c>
      <c r="B23" s="16" t="s">
        <v>74</v>
      </c>
      <c r="C23" s="18">
        <v>90.546750828270945</v>
      </c>
    </row>
    <row r="24" spans="1:3" x14ac:dyDescent="0.45">
      <c r="A24" s="63" t="s">
        <v>55</v>
      </c>
      <c r="B24" s="16" t="s">
        <v>75</v>
      </c>
      <c r="C24" s="18">
        <v>93.473994541571997</v>
      </c>
    </row>
    <row r="25" spans="1:3" x14ac:dyDescent="0.45">
      <c r="A25" s="63" t="s">
        <v>56</v>
      </c>
      <c r="B25" s="16" t="s">
        <v>76</v>
      </c>
      <c r="C25" s="18">
        <v>79.150853914302758</v>
      </c>
    </row>
    <row r="26" spans="1:3" x14ac:dyDescent="0.45">
      <c r="A26" s="63" t="s">
        <v>57</v>
      </c>
      <c r="B26" s="16" t="s">
        <v>77</v>
      </c>
      <c r="C26" s="18">
        <v>94.193010393189567</v>
      </c>
    </row>
    <row r="27" spans="1:3" x14ac:dyDescent="0.45">
      <c r="A27" s="63" t="s">
        <v>58</v>
      </c>
      <c r="B27" s="16" t="s">
        <v>78</v>
      </c>
      <c r="C27" s="18">
        <v>99.655188984359881</v>
      </c>
    </row>
    <row r="28" spans="1:3" x14ac:dyDescent="0.45">
      <c r="A28" s="63" t="s">
        <v>59</v>
      </c>
      <c r="B28" s="16" t="s">
        <v>79</v>
      </c>
      <c r="C28" s="18">
        <v>64.62364658150544</v>
      </c>
    </row>
    <row r="29" spans="1:3" x14ac:dyDescent="0.45">
      <c r="A29" s="63" t="s">
        <v>60</v>
      </c>
      <c r="B29" s="16" t="s">
        <v>80</v>
      </c>
      <c r="C29" s="18">
        <v>78.018619247894819</v>
      </c>
    </row>
    <row r="30" spans="1:3" x14ac:dyDescent="0.45">
      <c r="A30" s="63" t="s">
        <v>61</v>
      </c>
      <c r="B30" s="16" t="s">
        <v>81</v>
      </c>
      <c r="C30" s="18">
        <v>71.33733864314415</v>
      </c>
    </row>
    <row r="31" spans="1:3" x14ac:dyDescent="0.45">
      <c r="A31" s="63" t="s">
        <v>62</v>
      </c>
      <c r="B31" s="16" t="s">
        <v>82</v>
      </c>
      <c r="C31" s="18">
        <v>87.220139009781747</v>
      </c>
    </row>
    <row r="32" spans="1:3" x14ac:dyDescent="0.45">
      <c r="A32" s="63" t="s">
        <v>63</v>
      </c>
      <c r="B32" s="16" t="s">
        <v>83</v>
      </c>
      <c r="C32" s="18">
        <v>98.432507956396762</v>
      </c>
    </row>
    <row r="33" spans="1:3" x14ac:dyDescent="0.45">
      <c r="A33" s="63" t="s">
        <v>64</v>
      </c>
      <c r="B33" s="16" t="s">
        <v>84</v>
      </c>
      <c r="C33" s="18">
        <v>72.884074764164993</v>
      </c>
    </row>
    <row r="34" spans="1:3" x14ac:dyDescent="0.45">
      <c r="A34" s="63" t="s">
        <v>65</v>
      </c>
      <c r="B34" s="16" t="s">
        <v>85</v>
      </c>
      <c r="C34" s="18">
        <v>93.360975907584091</v>
      </c>
    </row>
    <row r="35" spans="1:3" x14ac:dyDescent="0.45">
      <c r="A35" s="63" t="s">
        <v>66</v>
      </c>
      <c r="B35" s="16" t="s">
        <v>86</v>
      </c>
      <c r="C35" s="18">
        <v>26.148930054432938</v>
      </c>
    </row>
    <row r="36" spans="1:3" x14ac:dyDescent="0.45">
      <c r="A36" s="63" t="s">
        <v>67</v>
      </c>
      <c r="B36" s="16" t="s">
        <v>87</v>
      </c>
      <c r="C36" s="18">
        <v>88.359119898003556</v>
      </c>
    </row>
    <row r="37" spans="1:3" x14ac:dyDescent="0.45">
      <c r="A37" s="63" t="s">
        <v>68</v>
      </c>
      <c r="B37" s="16" t="s">
        <v>88</v>
      </c>
      <c r="C37" s="18">
        <v>59.148584236866739</v>
      </c>
    </row>
    <row r="38" spans="1:3" x14ac:dyDescent="0.45">
      <c r="A38" s="63" t="s">
        <v>69</v>
      </c>
      <c r="B38" s="16" t="s">
        <v>89</v>
      </c>
      <c r="C38" s="18">
        <v>27.006837858393251</v>
      </c>
    </row>
    <row r="39" spans="1:3" x14ac:dyDescent="0.45">
      <c r="A39" s="63" t="s">
        <v>70</v>
      </c>
      <c r="B39" s="16" t="s">
        <v>90</v>
      </c>
      <c r="C39" s="18">
        <v>18.65227513143639</v>
      </c>
    </row>
    <row r="40" spans="1:3" x14ac:dyDescent="0.45">
      <c r="A40" s="63" t="s">
        <v>71</v>
      </c>
      <c r="B40" s="16" t="s">
        <v>91</v>
      </c>
      <c r="C40" s="18">
        <v>10.682024315980632</v>
      </c>
    </row>
    <row r="41" spans="1:3" ht="24" thickBot="1" x14ac:dyDescent="0.5">
      <c r="A41" s="64" t="s">
        <v>72</v>
      </c>
      <c r="B41" s="16" t="s">
        <v>92</v>
      </c>
      <c r="C41" s="18">
        <v>76.003861064740903</v>
      </c>
    </row>
    <row r="42" spans="1:3" x14ac:dyDescent="0.45">
      <c r="A42" s="63"/>
      <c r="B42" s="16" t="s">
        <v>8</v>
      </c>
      <c r="C42" s="40"/>
    </row>
  </sheetData>
  <phoneticPr fontId="5" type="noConversion"/>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853DB-5E62-4D22-94D1-720655D3314C}">
  <sheetPr codeName="Sheet2"/>
  <dimension ref="A1:J29"/>
  <sheetViews>
    <sheetView workbookViewId="0">
      <selection activeCell="B5" sqref="B5"/>
    </sheetView>
  </sheetViews>
  <sheetFormatPr defaultColWidth="8.88671875" defaultRowHeight="14.4" x14ac:dyDescent="0.3"/>
  <cols>
    <col min="1" max="1" width="18.88671875" bestFit="1" customWidth="1"/>
    <col min="2" max="2" width="26.33203125" customWidth="1"/>
    <col min="3" max="3" width="26.44140625" customWidth="1"/>
    <col min="4" max="4" width="18" bestFit="1" customWidth="1"/>
    <col min="5" max="5" width="26.44140625" customWidth="1"/>
  </cols>
  <sheetData>
    <row r="1" spans="1:10" x14ac:dyDescent="0.3">
      <c r="A1" s="94"/>
      <c r="B1" s="94"/>
      <c r="C1" s="94"/>
      <c r="D1" s="94"/>
      <c r="E1" s="94"/>
      <c r="F1" s="94"/>
      <c r="G1" s="94"/>
      <c r="H1" s="94"/>
      <c r="I1" s="94"/>
      <c r="J1" s="94"/>
    </row>
    <row r="2" spans="1:10" ht="21" x14ac:dyDescent="0.4">
      <c r="A2" s="95"/>
      <c r="B2" s="95"/>
      <c r="C2" s="95"/>
      <c r="D2" s="95"/>
      <c r="E2" s="95"/>
      <c r="F2" s="95"/>
      <c r="G2" s="95"/>
      <c r="H2" s="95"/>
      <c r="I2" s="95"/>
      <c r="J2" s="95"/>
    </row>
    <row r="3" spans="1:10" ht="33" customHeight="1" x14ac:dyDescent="0.3">
      <c r="A3" s="96"/>
      <c r="B3" s="96"/>
      <c r="C3" s="96"/>
      <c r="D3" s="96"/>
      <c r="E3" s="96"/>
      <c r="F3" s="96"/>
      <c r="G3" s="96"/>
      <c r="H3" s="96"/>
      <c r="I3" s="96"/>
      <c r="J3" s="96"/>
    </row>
    <row r="4" spans="1:10" ht="21" x14ac:dyDescent="0.4">
      <c r="A4" s="5"/>
      <c r="B4" s="11"/>
    </row>
    <row r="5" spans="1:10" ht="21" x14ac:dyDescent="0.4">
      <c r="A5" s="5"/>
      <c r="B5" s="9"/>
    </row>
    <row r="6" spans="1:10" ht="21" x14ac:dyDescent="0.4">
      <c r="A6" s="5" t="s">
        <v>97</v>
      </c>
      <c r="B6" s="10"/>
    </row>
    <row r="7" spans="1:10" ht="15" thickBot="1" x14ac:dyDescent="0.35"/>
    <row r="8" spans="1:10" ht="23.4" x14ac:dyDescent="0.45">
      <c r="B8" s="53" t="s">
        <v>9</v>
      </c>
      <c r="C8" s="53" t="s">
        <v>0</v>
      </c>
      <c r="D8" s="53" t="s">
        <v>1</v>
      </c>
      <c r="E8" s="53" t="s">
        <v>2</v>
      </c>
    </row>
    <row r="9" spans="1:10" ht="15.6" customHeight="1" thickBot="1" x14ac:dyDescent="0.5">
      <c r="B9" s="54"/>
      <c r="C9" s="54"/>
      <c r="D9" s="54"/>
      <c r="E9" s="54"/>
    </row>
    <row r="10" spans="1:10" ht="23.4" x14ac:dyDescent="0.45">
      <c r="B10" s="19"/>
      <c r="C10" s="20"/>
      <c r="D10" s="21"/>
      <c r="E10" s="42"/>
    </row>
    <row r="11" spans="1:10" ht="23.4" x14ac:dyDescent="0.45">
      <c r="B11" s="22"/>
      <c r="C11" s="23"/>
      <c r="D11" s="24"/>
      <c r="E11" s="23"/>
    </row>
    <row r="12" spans="1:10" ht="23.4" x14ac:dyDescent="0.45">
      <c r="B12" s="22"/>
      <c r="C12" s="23"/>
      <c r="D12" s="24"/>
      <c r="E12" s="23"/>
    </row>
    <row r="13" spans="1:10" ht="23.4" x14ac:dyDescent="0.45">
      <c r="B13" s="22"/>
      <c r="C13" s="23"/>
      <c r="D13" s="24"/>
      <c r="E13" s="23"/>
    </row>
    <row r="14" spans="1:10" ht="23.4" x14ac:dyDescent="0.45">
      <c r="B14" s="22"/>
      <c r="C14" s="23"/>
      <c r="D14" s="24"/>
      <c r="E14" s="23"/>
    </row>
    <row r="15" spans="1:10" ht="23.4" x14ac:dyDescent="0.45">
      <c r="B15" s="22"/>
      <c r="C15" s="23"/>
      <c r="D15" s="24"/>
      <c r="E15" s="23"/>
    </row>
    <row r="16" spans="1:10" ht="23.4" x14ac:dyDescent="0.45">
      <c r="B16" s="22"/>
      <c r="C16" s="23"/>
      <c r="D16" s="24"/>
      <c r="E16" s="23"/>
    </row>
    <row r="17" spans="2:5" ht="23.4" x14ac:dyDescent="0.45">
      <c r="B17" s="22"/>
      <c r="C17" s="23"/>
      <c r="D17" s="24"/>
      <c r="E17" s="23"/>
    </row>
    <row r="18" spans="2:5" ht="23.4" x14ac:dyDescent="0.45">
      <c r="B18" s="22"/>
      <c r="C18" s="23"/>
      <c r="D18" s="24"/>
      <c r="E18" s="23"/>
    </row>
    <row r="19" spans="2:5" ht="23.4" x14ac:dyDescent="0.45">
      <c r="B19" s="22"/>
      <c r="C19" s="23"/>
      <c r="D19" s="24"/>
      <c r="E19" s="23"/>
    </row>
    <row r="20" spans="2:5" ht="23.4" x14ac:dyDescent="0.45">
      <c r="B20" s="22"/>
      <c r="C20" s="23"/>
      <c r="D20" s="24"/>
      <c r="E20" s="23"/>
    </row>
    <row r="21" spans="2:5" ht="24" thickBot="1" x14ac:dyDescent="0.5">
      <c r="B21" s="25"/>
      <c r="C21" s="26"/>
      <c r="D21" s="27"/>
      <c r="E21" s="26"/>
    </row>
    <row r="22" spans="2:5" ht="18" x14ac:dyDescent="0.35">
      <c r="D22" s="6" t="s">
        <v>11</v>
      </c>
      <c r="E22" s="28"/>
    </row>
    <row r="23" spans="2:5" ht="18" x14ac:dyDescent="0.35">
      <c r="D23" s="7" t="s">
        <v>3</v>
      </c>
      <c r="E23" s="29"/>
    </row>
    <row r="24" spans="2:5" ht="18" x14ac:dyDescent="0.35">
      <c r="D24" s="7" t="s">
        <v>12</v>
      </c>
      <c r="E24" s="30">
        <v>0.13</v>
      </c>
    </row>
    <row r="25" spans="2:5" ht="18.600000000000001" thickBot="1" x14ac:dyDescent="0.4">
      <c r="D25" s="8" t="s">
        <v>4</v>
      </c>
      <c r="E25" s="31">
        <f>E22*E24</f>
        <v>0</v>
      </c>
    </row>
    <row r="26" spans="2:5" x14ac:dyDescent="0.3">
      <c r="E26" s="1"/>
    </row>
    <row r="27" spans="2:5" x14ac:dyDescent="0.3">
      <c r="B27" s="2"/>
      <c r="E27" s="1"/>
    </row>
    <row r="28" spans="2:5" ht="18" x14ac:dyDescent="0.35">
      <c r="C28" s="32" t="s">
        <v>99</v>
      </c>
      <c r="D28" s="33"/>
      <c r="E28" s="1"/>
    </row>
    <row r="29" spans="2:5" ht="21" x14ac:dyDescent="0.4">
      <c r="C29" s="97" t="s">
        <v>98</v>
      </c>
      <c r="D29" s="97"/>
      <c r="E29" s="12"/>
    </row>
  </sheetData>
  <mergeCells count="4">
    <mergeCell ref="A1:J1"/>
    <mergeCell ref="A2:J2"/>
    <mergeCell ref="A3:J3"/>
    <mergeCell ref="C29:D29"/>
  </mergeCells>
  <pageMargins left="0.23622047244094502" right="0.23622047244094502" top="0.74803149606299202" bottom="0.74803149606299202" header="0.31496062992126" footer="0.31496062992126"/>
  <pageSetup paperSize="9" scale="80" fitToWidth="0" orientation="portrait" cellComments="atEnd" horizontalDpi="1200" verticalDpi="12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errorTitle="Coût inexistant" error="Ce Coût unitaire ne correspond à aucun article dans nos stocks." xr:uid="{6D8C861A-ACF0-401E-9CBC-132254FA394C}">
          <x14:formula1>
            <xm:f>Produits!$C$2:$C$41</xm:f>
          </x14:formula1>
          <xm:sqref>C10</xm:sqref>
        </x14:dataValidation>
        <x14:dataValidation type="list" allowBlank="1" showInputMessage="1" showErrorMessage="1" errorTitle="Article inexistant " error="Cet article n'existe pas !" xr:uid="{1A2535EE-B631-420F-8AC2-34EF5BE26209}">
          <x14:formula1>
            <xm:f>Produits!$A$2:$A$41</xm:f>
          </x14:formula1>
          <xm:sqref>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C230BC-2FC1-4F84-AC36-C559C8C5F033}">
  <sheetPr codeName="Feuil2"/>
  <dimension ref="A1:D18"/>
  <sheetViews>
    <sheetView topLeftCell="A3" workbookViewId="0">
      <selection activeCell="A13" sqref="A13:D18"/>
    </sheetView>
  </sheetViews>
  <sheetFormatPr defaultColWidth="11.5546875" defaultRowHeight="14.4" x14ac:dyDescent="0.3"/>
  <cols>
    <col min="1" max="1" width="25.44140625" bestFit="1" customWidth="1"/>
    <col min="2" max="2" width="27.6640625" bestFit="1" customWidth="1"/>
    <col min="3" max="3" width="19.44140625" style="41" bestFit="1" customWidth="1"/>
    <col min="4" max="4" width="32.109375" customWidth="1"/>
  </cols>
  <sheetData>
    <row r="1" spans="1:4" ht="25.8" x14ac:dyDescent="0.5">
      <c r="A1" s="56" t="s">
        <v>96</v>
      </c>
      <c r="B1" s="57" t="s">
        <v>97</v>
      </c>
      <c r="C1" s="58" t="s">
        <v>6</v>
      </c>
      <c r="D1" s="59" t="s">
        <v>5</v>
      </c>
    </row>
    <row r="2" spans="1:4" ht="21" x14ac:dyDescent="0.4">
      <c r="A2" s="44">
        <v>45017</v>
      </c>
      <c r="B2" s="14" t="s">
        <v>143</v>
      </c>
      <c r="C2" s="43">
        <v>618.78</v>
      </c>
      <c r="D2" s="45" t="s">
        <v>107</v>
      </c>
    </row>
    <row r="3" spans="1:4" ht="21" x14ac:dyDescent="0.4">
      <c r="A3" s="44">
        <v>45019</v>
      </c>
      <c r="B3" s="14" t="s">
        <v>144</v>
      </c>
      <c r="C3" s="43">
        <v>1031.3</v>
      </c>
      <c r="D3" s="45" t="s">
        <v>106</v>
      </c>
    </row>
    <row r="4" spans="1:4" ht="21" x14ac:dyDescent="0.4">
      <c r="A4" s="44">
        <v>45021</v>
      </c>
      <c r="B4" s="14" t="s">
        <v>145</v>
      </c>
      <c r="C4" s="43">
        <v>1066.26</v>
      </c>
      <c r="D4" s="45" t="s">
        <v>105</v>
      </c>
    </row>
    <row r="5" spans="1:4" ht="21" x14ac:dyDescent="0.4">
      <c r="A5" s="44">
        <v>45024</v>
      </c>
      <c r="B5" s="14" t="s">
        <v>146</v>
      </c>
      <c r="C5" s="43">
        <v>1118.47</v>
      </c>
      <c r="D5" s="45" t="s">
        <v>105</v>
      </c>
    </row>
    <row r="6" spans="1:4" ht="21" x14ac:dyDescent="0.4">
      <c r="A6" s="44">
        <v>45028</v>
      </c>
      <c r="B6" s="14" t="s">
        <v>147</v>
      </c>
      <c r="C6" s="43">
        <v>1257.71</v>
      </c>
      <c r="D6" s="45" t="s">
        <v>106</v>
      </c>
    </row>
    <row r="7" spans="1:4" ht="21" x14ac:dyDescent="0.4">
      <c r="A7" s="44">
        <v>45030</v>
      </c>
      <c r="B7" s="14" t="s">
        <v>148</v>
      </c>
      <c r="C7" s="43">
        <v>1821.17</v>
      </c>
      <c r="D7" s="45" t="s">
        <v>105</v>
      </c>
    </row>
    <row r="8" spans="1:4" ht="21" x14ac:dyDescent="0.4">
      <c r="A8" s="44">
        <v>45032</v>
      </c>
      <c r="B8" s="14" t="s">
        <v>149</v>
      </c>
      <c r="C8" s="43">
        <v>361.64</v>
      </c>
      <c r="D8" s="45" t="s">
        <v>105</v>
      </c>
    </row>
    <row r="9" spans="1:4" ht="21" x14ac:dyDescent="0.4">
      <c r="A9" s="44">
        <v>45027</v>
      </c>
      <c r="B9" s="14" t="s">
        <v>150</v>
      </c>
      <c r="C9" s="43">
        <v>964.36</v>
      </c>
      <c r="D9" s="45" t="s">
        <v>106</v>
      </c>
    </row>
    <row r="10" spans="1:4" ht="21" x14ac:dyDescent="0.4">
      <c r="A10" s="44">
        <v>45031</v>
      </c>
      <c r="B10" s="14" t="s">
        <v>151</v>
      </c>
      <c r="C10" s="43">
        <v>563.46</v>
      </c>
      <c r="D10" s="45" t="s">
        <v>106</v>
      </c>
    </row>
    <row r="11" spans="1:4" ht="21" x14ac:dyDescent="0.4">
      <c r="A11" s="44">
        <v>45031</v>
      </c>
      <c r="B11" s="14" t="s">
        <v>152</v>
      </c>
      <c r="C11" s="43">
        <v>889.19</v>
      </c>
      <c r="D11" s="45" t="s">
        <v>106</v>
      </c>
    </row>
    <row r="12" spans="1:4" ht="21" x14ac:dyDescent="0.4">
      <c r="A12" s="44">
        <v>45031</v>
      </c>
      <c r="B12" s="14" t="s">
        <v>153</v>
      </c>
      <c r="C12" s="43">
        <v>1149.77</v>
      </c>
      <c r="D12" s="45" t="s">
        <v>105</v>
      </c>
    </row>
    <row r="13" spans="1:4" ht="21" x14ac:dyDescent="0.4">
      <c r="A13" s="44"/>
      <c r="B13" s="14"/>
      <c r="C13" s="43"/>
      <c r="D13" s="45"/>
    </row>
    <row r="14" spans="1:4" ht="21" x14ac:dyDescent="0.4">
      <c r="A14" s="44"/>
      <c r="B14" s="14"/>
      <c r="C14" s="43"/>
      <c r="D14" s="45"/>
    </row>
    <row r="15" spans="1:4" ht="21" x14ac:dyDescent="0.4">
      <c r="A15" s="44"/>
      <c r="B15" s="14"/>
      <c r="C15" s="43"/>
      <c r="D15" s="45"/>
    </row>
    <row r="16" spans="1:4" ht="21" x14ac:dyDescent="0.4">
      <c r="A16" s="44"/>
      <c r="B16" s="14"/>
      <c r="C16" s="43"/>
      <c r="D16" s="45"/>
    </row>
    <row r="17" spans="1:4" ht="21" x14ac:dyDescent="0.4">
      <c r="A17" s="44"/>
      <c r="B17" s="14"/>
      <c r="C17" s="43"/>
      <c r="D17" s="45"/>
    </row>
    <row r="18" spans="1:4" ht="21" x14ac:dyDescent="0.4">
      <c r="A18" s="44"/>
      <c r="B18" s="14"/>
      <c r="C18" s="43"/>
      <c r="D18" s="45"/>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0DBE7-20AD-464B-9969-06FF5B05E788}">
  <sheetPr codeName="Sheet5"/>
  <dimension ref="A1:B171"/>
  <sheetViews>
    <sheetView workbookViewId="0">
      <selection activeCell="B69" sqref="B69"/>
    </sheetView>
  </sheetViews>
  <sheetFormatPr defaultColWidth="8.88671875" defaultRowHeight="14.4" x14ac:dyDescent="0.3"/>
  <cols>
    <col min="1" max="1" width="30" bestFit="1" customWidth="1"/>
    <col min="2" max="2" width="19.5546875" bestFit="1" customWidth="1"/>
  </cols>
  <sheetData>
    <row r="1" spans="1:2" ht="25.8" x14ac:dyDescent="0.5">
      <c r="A1" s="55" t="s">
        <v>100</v>
      </c>
      <c r="B1" s="55" t="s">
        <v>1</v>
      </c>
    </row>
    <row r="2" spans="1:2" ht="21" x14ac:dyDescent="0.4">
      <c r="A2" s="14" t="s">
        <v>7</v>
      </c>
      <c r="B2" s="36">
        <v>3</v>
      </c>
    </row>
    <row r="3" spans="1:2" ht="21" x14ac:dyDescent="0.4">
      <c r="A3" s="14" t="s">
        <v>7</v>
      </c>
      <c r="B3" s="36">
        <v>3</v>
      </c>
    </row>
    <row r="4" spans="1:2" ht="21" x14ac:dyDescent="0.4">
      <c r="A4" s="14" t="s">
        <v>7</v>
      </c>
      <c r="B4" s="36">
        <v>6</v>
      </c>
    </row>
    <row r="5" spans="1:2" ht="21" x14ac:dyDescent="0.4">
      <c r="A5" s="14" t="s">
        <v>7</v>
      </c>
      <c r="B5" s="36">
        <v>3</v>
      </c>
    </row>
    <row r="6" spans="1:2" ht="21" x14ac:dyDescent="0.4">
      <c r="A6" s="14" t="s">
        <v>7</v>
      </c>
      <c r="B6" s="36">
        <v>6</v>
      </c>
    </row>
    <row r="7" spans="1:2" ht="21" x14ac:dyDescent="0.4">
      <c r="A7" s="14" t="s">
        <v>16</v>
      </c>
      <c r="B7" s="36">
        <v>5</v>
      </c>
    </row>
    <row r="8" spans="1:2" ht="21" x14ac:dyDescent="0.4">
      <c r="A8" s="14" t="s">
        <v>16</v>
      </c>
      <c r="B8" s="36">
        <v>3</v>
      </c>
    </row>
    <row r="9" spans="1:2" ht="21" x14ac:dyDescent="0.4">
      <c r="A9" s="14" t="s">
        <v>16</v>
      </c>
      <c r="B9" s="36">
        <v>3</v>
      </c>
    </row>
    <row r="10" spans="1:2" ht="21" x14ac:dyDescent="0.4">
      <c r="A10" s="14" t="s">
        <v>16</v>
      </c>
      <c r="B10" s="36">
        <v>3</v>
      </c>
    </row>
    <row r="11" spans="1:2" ht="21" x14ac:dyDescent="0.4">
      <c r="A11" s="14" t="s">
        <v>16</v>
      </c>
      <c r="B11" s="36">
        <v>3</v>
      </c>
    </row>
    <row r="12" spans="1:2" ht="21" x14ac:dyDescent="0.4">
      <c r="A12" s="14" t="s">
        <v>19</v>
      </c>
      <c r="B12" s="36">
        <v>5</v>
      </c>
    </row>
    <row r="13" spans="1:2" ht="21" x14ac:dyDescent="0.4">
      <c r="A13" s="14" t="s">
        <v>21</v>
      </c>
      <c r="B13" s="36">
        <v>4</v>
      </c>
    </row>
    <row r="14" spans="1:2" ht="21" x14ac:dyDescent="0.4">
      <c r="A14" s="14" t="s">
        <v>21</v>
      </c>
      <c r="B14" s="36">
        <v>4</v>
      </c>
    </row>
    <row r="15" spans="1:2" ht="21.6" thickBot="1" x14ac:dyDescent="0.45">
      <c r="A15" s="15" t="s">
        <v>21</v>
      </c>
      <c r="B15" s="15">
        <v>7</v>
      </c>
    </row>
    <row r="16" spans="1:2" ht="21" x14ac:dyDescent="0.4">
      <c r="A16" s="14" t="s">
        <v>7</v>
      </c>
      <c r="B16" s="36">
        <v>6</v>
      </c>
    </row>
    <row r="17" spans="1:2" ht="21" x14ac:dyDescent="0.4">
      <c r="A17" s="14" t="s">
        <v>7</v>
      </c>
      <c r="B17" s="36">
        <v>6</v>
      </c>
    </row>
    <row r="18" spans="1:2" ht="21" x14ac:dyDescent="0.4">
      <c r="A18" s="14" t="s">
        <v>7</v>
      </c>
      <c r="B18" s="36">
        <v>4</v>
      </c>
    </row>
    <row r="19" spans="1:2" ht="21" x14ac:dyDescent="0.4">
      <c r="A19" s="14" t="s">
        <v>7</v>
      </c>
      <c r="B19" s="36">
        <v>6</v>
      </c>
    </row>
    <row r="20" spans="1:2" ht="21" x14ac:dyDescent="0.4">
      <c r="A20" s="14" t="s">
        <v>7</v>
      </c>
      <c r="B20" s="36">
        <v>4</v>
      </c>
    </row>
    <row r="21" spans="1:2" ht="21" x14ac:dyDescent="0.4">
      <c r="A21" s="14" t="s">
        <v>13</v>
      </c>
      <c r="B21" s="36">
        <v>7</v>
      </c>
    </row>
    <row r="22" spans="1:2" ht="21" x14ac:dyDescent="0.4">
      <c r="A22" s="14" t="s">
        <v>7</v>
      </c>
      <c r="B22" s="36">
        <v>6</v>
      </c>
    </row>
    <row r="23" spans="1:2" ht="21" x14ac:dyDescent="0.4">
      <c r="A23" s="14" t="s">
        <v>7</v>
      </c>
      <c r="B23" s="36">
        <v>4</v>
      </c>
    </row>
    <row r="24" spans="1:2" ht="21" x14ac:dyDescent="0.4">
      <c r="A24" s="14" t="s">
        <v>13</v>
      </c>
      <c r="B24" s="36">
        <v>7</v>
      </c>
    </row>
    <row r="25" spans="1:2" ht="21" x14ac:dyDescent="0.4">
      <c r="A25" s="14" t="s">
        <v>17</v>
      </c>
      <c r="B25" s="36">
        <v>3</v>
      </c>
    </row>
    <row r="26" spans="1:2" ht="21" x14ac:dyDescent="0.4">
      <c r="A26" s="14" t="s">
        <v>7</v>
      </c>
      <c r="B26" s="36">
        <v>6</v>
      </c>
    </row>
    <row r="27" spans="1:2" ht="21" x14ac:dyDescent="0.4">
      <c r="A27" s="14" t="s">
        <v>7</v>
      </c>
      <c r="B27" s="36">
        <v>4</v>
      </c>
    </row>
    <row r="28" spans="1:2" ht="21" x14ac:dyDescent="0.4">
      <c r="A28" s="14" t="s">
        <v>13</v>
      </c>
      <c r="B28" s="36">
        <v>7</v>
      </c>
    </row>
    <row r="29" spans="1:2" ht="21.6" thickBot="1" x14ac:dyDescent="0.45">
      <c r="A29" s="15" t="s">
        <v>17</v>
      </c>
      <c r="B29" s="15">
        <v>3</v>
      </c>
    </row>
    <row r="30" spans="1:2" ht="21" x14ac:dyDescent="0.4">
      <c r="A30" s="14" t="s">
        <v>17</v>
      </c>
      <c r="B30" s="36">
        <v>8</v>
      </c>
    </row>
    <row r="31" spans="1:2" ht="21" x14ac:dyDescent="0.4">
      <c r="A31" s="14" t="s">
        <v>7</v>
      </c>
      <c r="B31" s="36">
        <v>6</v>
      </c>
    </row>
    <row r="32" spans="1:2" ht="21" x14ac:dyDescent="0.4">
      <c r="A32" s="14" t="s">
        <v>7</v>
      </c>
      <c r="B32" s="36">
        <v>4</v>
      </c>
    </row>
    <row r="33" spans="1:2" ht="21" x14ac:dyDescent="0.4">
      <c r="A33" s="14" t="s">
        <v>13</v>
      </c>
      <c r="B33" s="36">
        <v>7</v>
      </c>
    </row>
    <row r="34" spans="1:2" ht="21" x14ac:dyDescent="0.4">
      <c r="A34" s="14" t="s">
        <v>17</v>
      </c>
      <c r="B34" s="36">
        <v>3</v>
      </c>
    </row>
    <row r="35" spans="1:2" ht="21" x14ac:dyDescent="0.4">
      <c r="A35" s="14" t="s">
        <v>17</v>
      </c>
      <c r="B35" s="36">
        <v>8</v>
      </c>
    </row>
    <row r="36" spans="1:2" ht="21" x14ac:dyDescent="0.4">
      <c r="A36" s="14" t="s">
        <v>22</v>
      </c>
      <c r="B36" s="36">
        <v>10</v>
      </c>
    </row>
    <row r="37" spans="1:2" ht="21" x14ac:dyDescent="0.4">
      <c r="A37" s="14" t="s">
        <v>21</v>
      </c>
      <c r="B37" s="36">
        <v>6</v>
      </c>
    </row>
    <row r="38" spans="1:2" ht="21" x14ac:dyDescent="0.4">
      <c r="A38" s="14" t="s">
        <v>21</v>
      </c>
      <c r="B38" s="36">
        <v>6</v>
      </c>
    </row>
    <row r="39" spans="1:2" ht="21" x14ac:dyDescent="0.4">
      <c r="A39" s="14" t="s">
        <v>21</v>
      </c>
      <c r="B39" s="36">
        <v>10</v>
      </c>
    </row>
    <row r="40" spans="1:2" ht="21" x14ac:dyDescent="0.4">
      <c r="A40" s="14" t="s">
        <v>22</v>
      </c>
      <c r="B40" s="36">
        <v>10</v>
      </c>
    </row>
    <row r="41" spans="1:2" ht="21" x14ac:dyDescent="0.4">
      <c r="A41" s="14" t="s">
        <v>22</v>
      </c>
      <c r="B41" s="36">
        <v>10</v>
      </c>
    </row>
    <row r="42" spans="1:2" ht="21" x14ac:dyDescent="0.4">
      <c r="A42" s="14" t="s">
        <v>28</v>
      </c>
      <c r="B42" s="36">
        <v>10</v>
      </c>
    </row>
    <row r="43" spans="1:2" ht="21.6" thickBot="1" x14ac:dyDescent="0.45">
      <c r="A43" s="15" t="s">
        <v>22</v>
      </c>
      <c r="B43" s="15">
        <v>10</v>
      </c>
    </row>
    <row r="44" spans="1:2" ht="21" x14ac:dyDescent="0.4">
      <c r="A44" s="14" t="s">
        <v>28</v>
      </c>
      <c r="B44" s="36">
        <v>10</v>
      </c>
    </row>
    <row r="45" spans="1:2" ht="21" x14ac:dyDescent="0.4">
      <c r="A45" s="14" t="s">
        <v>28</v>
      </c>
      <c r="B45" s="36">
        <v>8</v>
      </c>
    </row>
    <row r="46" spans="1:2" ht="21" x14ac:dyDescent="0.4">
      <c r="A46" s="14" t="s">
        <v>7</v>
      </c>
      <c r="B46" s="36">
        <v>20</v>
      </c>
    </row>
    <row r="47" spans="1:2" ht="21" x14ac:dyDescent="0.4">
      <c r="A47" s="14" t="s">
        <v>7</v>
      </c>
      <c r="B47" s="36">
        <v>25</v>
      </c>
    </row>
    <row r="48" spans="1:2" ht="21" x14ac:dyDescent="0.4">
      <c r="A48" s="14" t="s">
        <v>7</v>
      </c>
      <c r="B48" s="36">
        <v>15</v>
      </c>
    </row>
    <row r="49" spans="1:2" ht="21" x14ac:dyDescent="0.4">
      <c r="A49" s="14" t="s">
        <v>7</v>
      </c>
      <c r="B49" s="36">
        <v>15</v>
      </c>
    </row>
    <row r="50" spans="1:2" ht="21" x14ac:dyDescent="0.4">
      <c r="A50" s="14" t="s">
        <v>7</v>
      </c>
      <c r="B50" s="36">
        <v>20</v>
      </c>
    </row>
    <row r="51" spans="1:2" ht="21" x14ac:dyDescent="0.4">
      <c r="A51" s="14" t="s">
        <v>7</v>
      </c>
      <c r="B51" s="36">
        <v>15</v>
      </c>
    </row>
    <row r="52" spans="1:2" ht="21" x14ac:dyDescent="0.4">
      <c r="A52" s="14" t="s">
        <v>7</v>
      </c>
      <c r="B52" s="36">
        <v>20</v>
      </c>
    </row>
    <row r="53" spans="1:2" ht="21" x14ac:dyDescent="0.4">
      <c r="A53" s="14" t="s">
        <v>7</v>
      </c>
      <c r="B53" s="36">
        <v>20</v>
      </c>
    </row>
    <row r="54" spans="1:2" ht="21" x14ac:dyDescent="0.4">
      <c r="A54" s="14" t="s">
        <v>7</v>
      </c>
      <c r="B54" s="36">
        <v>20</v>
      </c>
    </row>
    <row r="55" spans="1:2" ht="21" x14ac:dyDescent="0.4">
      <c r="A55" s="14" t="s">
        <v>7</v>
      </c>
      <c r="B55" s="36">
        <v>20</v>
      </c>
    </row>
    <row r="56" spans="1:2" ht="21" x14ac:dyDescent="0.4">
      <c r="A56" s="14" t="s">
        <v>7</v>
      </c>
      <c r="B56" s="36">
        <v>20</v>
      </c>
    </row>
    <row r="57" spans="1:2" ht="21.6" thickBot="1" x14ac:dyDescent="0.45">
      <c r="A57" s="15" t="s">
        <v>53</v>
      </c>
      <c r="B57" s="15">
        <v>25</v>
      </c>
    </row>
    <row r="58" spans="1:2" ht="21" x14ac:dyDescent="0.4">
      <c r="A58" s="14" t="s">
        <v>7</v>
      </c>
      <c r="B58" s="36">
        <v>20</v>
      </c>
    </row>
    <row r="59" spans="1:2" ht="21" x14ac:dyDescent="0.4">
      <c r="A59" s="14" t="s">
        <v>7</v>
      </c>
      <c r="B59" s="36">
        <v>20</v>
      </c>
    </row>
    <row r="60" spans="1:2" ht="21" x14ac:dyDescent="0.4">
      <c r="A60" s="14" t="s">
        <v>7</v>
      </c>
      <c r="B60" s="36">
        <v>105</v>
      </c>
    </row>
    <row r="61" spans="1:2" ht="21" x14ac:dyDescent="0.4">
      <c r="A61" s="14" t="s">
        <v>57</v>
      </c>
      <c r="B61" s="36">
        <v>1445</v>
      </c>
    </row>
    <row r="62" spans="1:2" ht="21" x14ac:dyDescent="0.4">
      <c r="A62" s="14" t="s">
        <v>7</v>
      </c>
      <c r="B62" s="36">
        <v>25</v>
      </c>
    </row>
    <row r="63" spans="1:2" ht="21" x14ac:dyDescent="0.4">
      <c r="A63" s="14" t="s">
        <v>8</v>
      </c>
      <c r="B63" s="36">
        <v>30</v>
      </c>
    </row>
    <row r="64" spans="1:2" ht="21" x14ac:dyDescent="0.4">
      <c r="A64" s="14" t="s">
        <v>8</v>
      </c>
      <c r="B64" s="36">
        <v>35</v>
      </c>
    </row>
    <row r="65" spans="1:2" ht="21" x14ac:dyDescent="0.4">
      <c r="A65" s="14" t="s">
        <v>10</v>
      </c>
      <c r="B65" s="36">
        <v>35</v>
      </c>
    </row>
    <row r="66" spans="1:2" ht="21" x14ac:dyDescent="0.4">
      <c r="A66" s="14"/>
      <c r="B66" s="36"/>
    </row>
    <row r="67" spans="1:2" ht="21" x14ac:dyDescent="0.4">
      <c r="A67" s="14"/>
      <c r="B67" s="36"/>
    </row>
    <row r="68" spans="1:2" ht="21" x14ac:dyDescent="0.4">
      <c r="A68" s="14"/>
      <c r="B68" s="36"/>
    </row>
    <row r="69" spans="1:2" ht="21" x14ac:dyDescent="0.4">
      <c r="A69" s="14"/>
      <c r="B69" s="36"/>
    </row>
    <row r="70" spans="1:2" ht="21" x14ac:dyDescent="0.4">
      <c r="A70" s="14"/>
      <c r="B70" s="36"/>
    </row>
    <row r="71" spans="1:2" ht="21.6" thickBot="1" x14ac:dyDescent="0.45">
      <c r="A71" s="15"/>
      <c r="B71" s="15"/>
    </row>
    <row r="72" spans="1:2" ht="21" x14ac:dyDescent="0.4">
      <c r="A72" s="14"/>
      <c r="B72" s="36"/>
    </row>
    <row r="73" spans="1:2" ht="21" x14ac:dyDescent="0.4">
      <c r="A73" s="14"/>
      <c r="B73" s="36"/>
    </row>
    <row r="74" spans="1:2" ht="21" x14ac:dyDescent="0.4">
      <c r="A74" s="14"/>
      <c r="B74" s="36"/>
    </row>
    <row r="75" spans="1:2" ht="21" x14ac:dyDescent="0.4">
      <c r="A75" s="14"/>
      <c r="B75" s="36"/>
    </row>
    <row r="76" spans="1:2" ht="21" x14ac:dyDescent="0.4">
      <c r="A76" s="14"/>
      <c r="B76" s="36"/>
    </row>
    <row r="77" spans="1:2" ht="21" x14ac:dyDescent="0.4">
      <c r="A77" s="14"/>
      <c r="B77" s="36"/>
    </row>
    <row r="78" spans="1:2" ht="21" x14ac:dyDescent="0.4">
      <c r="A78" s="14"/>
      <c r="B78" s="36"/>
    </row>
    <row r="79" spans="1:2" ht="21" x14ac:dyDescent="0.4">
      <c r="A79" s="14"/>
      <c r="B79" s="36"/>
    </row>
    <row r="80" spans="1:2" ht="21" x14ac:dyDescent="0.4">
      <c r="A80" s="14"/>
      <c r="B80" s="36"/>
    </row>
    <row r="81" spans="1:2" ht="21" x14ac:dyDescent="0.4">
      <c r="A81" s="14"/>
      <c r="B81" s="36"/>
    </row>
    <row r="82" spans="1:2" ht="21" x14ac:dyDescent="0.4">
      <c r="A82" s="14"/>
      <c r="B82" s="36"/>
    </row>
    <row r="83" spans="1:2" ht="21" x14ac:dyDescent="0.4">
      <c r="A83" s="14"/>
      <c r="B83" s="36"/>
    </row>
    <row r="84" spans="1:2" ht="21" x14ac:dyDescent="0.4">
      <c r="A84" s="14"/>
      <c r="B84" s="36"/>
    </row>
    <row r="85" spans="1:2" ht="21.6" thickBot="1" x14ac:dyDescent="0.45">
      <c r="A85" s="15"/>
      <c r="B85" s="15"/>
    </row>
    <row r="86" spans="1:2" ht="21" x14ac:dyDescent="0.4">
      <c r="A86" s="14"/>
      <c r="B86" s="36"/>
    </row>
    <row r="87" spans="1:2" ht="21" x14ac:dyDescent="0.4">
      <c r="A87" s="14"/>
      <c r="B87" s="36"/>
    </row>
    <row r="88" spans="1:2" ht="21" x14ac:dyDescent="0.4">
      <c r="A88" s="14"/>
      <c r="B88" s="36"/>
    </row>
    <row r="89" spans="1:2" ht="21" x14ac:dyDescent="0.4">
      <c r="A89" s="14"/>
      <c r="B89" s="36"/>
    </row>
    <row r="90" spans="1:2" ht="21" x14ac:dyDescent="0.4">
      <c r="A90" s="14"/>
      <c r="B90" s="36"/>
    </row>
    <row r="91" spans="1:2" ht="21" x14ac:dyDescent="0.4">
      <c r="A91" s="14"/>
      <c r="B91" s="36"/>
    </row>
    <row r="92" spans="1:2" ht="21" x14ac:dyDescent="0.4">
      <c r="A92" s="14"/>
      <c r="B92" s="36"/>
    </row>
    <row r="93" spans="1:2" ht="21" x14ac:dyDescent="0.4">
      <c r="A93" s="14"/>
      <c r="B93" s="36"/>
    </row>
    <row r="94" spans="1:2" ht="21" x14ac:dyDescent="0.4">
      <c r="A94" s="14"/>
      <c r="B94" s="36"/>
    </row>
    <row r="95" spans="1:2" ht="21" x14ac:dyDescent="0.4">
      <c r="A95" s="14"/>
      <c r="B95" s="36"/>
    </row>
    <row r="96" spans="1:2" ht="21" x14ac:dyDescent="0.4">
      <c r="A96" s="14"/>
      <c r="B96" s="36"/>
    </row>
    <row r="97" spans="1:2" ht="21" x14ac:dyDescent="0.4">
      <c r="A97" s="14"/>
      <c r="B97" s="36"/>
    </row>
    <row r="98" spans="1:2" ht="21" x14ac:dyDescent="0.4">
      <c r="A98" s="14"/>
      <c r="B98" s="36"/>
    </row>
    <row r="99" spans="1:2" ht="21.6" thickBot="1" x14ac:dyDescent="0.45">
      <c r="A99" s="15"/>
      <c r="B99" s="15"/>
    </row>
    <row r="100" spans="1:2" ht="21" x14ac:dyDescent="0.4">
      <c r="A100" s="14"/>
      <c r="B100" s="36"/>
    </row>
    <row r="101" spans="1:2" ht="21" x14ac:dyDescent="0.4">
      <c r="A101" s="14"/>
      <c r="B101" s="36"/>
    </row>
    <row r="102" spans="1:2" ht="21" x14ac:dyDescent="0.4">
      <c r="A102" s="14"/>
      <c r="B102" s="36"/>
    </row>
    <row r="103" spans="1:2" ht="21" x14ac:dyDescent="0.4">
      <c r="A103" s="14"/>
      <c r="B103" s="36"/>
    </row>
    <row r="104" spans="1:2" ht="21" x14ac:dyDescent="0.4">
      <c r="A104" s="14"/>
      <c r="B104" s="36"/>
    </row>
    <row r="105" spans="1:2" ht="21" x14ac:dyDescent="0.4">
      <c r="A105" s="14"/>
      <c r="B105" s="36"/>
    </row>
    <row r="106" spans="1:2" ht="21" x14ac:dyDescent="0.4">
      <c r="A106" s="14"/>
      <c r="B106" s="36"/>
    </row>
    <row r="107" spans="1:2" ht="21" x14ac:dyDescent="0.4">
      <c r="A107" s="14"/>
      <c r="B107" s="36"/>
    </row>
    <row r="108" spans="1:2" ht="21" x14ac:dyDescent="0.4">
      <c r="A108" s="14"/>
      <c r="B108" s="36"/>
    </row>
    <row r="109" spans="1:2" ht="21" x14ac:dyDescent="0.4">
      <c r="A109" s="14"/>
      <c r="B109" s="36"/>
    </row>
    <row r="110" spans="1:2" ht="21" x14ac:dyDescent="0.4">
      <c r="A110" s="14"/>
      <c r="B110" s="36"/>
    </row>
    <row r="111" spans="1:2" ht="21" x14ac:dyDescent="0.4">
      <c r="A111" s="14"/>
      <c r="B111" s="36"/>
    </row>
    <row r="112" spans="1:2" ht="21" x14ac:dyDescent="0.4">
      <c r="A112" s="14"/>
      <c r="B112" s="36"/>
    </row>
    <row r="113" spans="1:2" ht="21.6" thickBot="1" x14ac:dyDescent="0.45">
      <c r="A113" s="15"/>
      <c r="B113" s="15"/>
    </row>
    <row r="114" spans="1:2" ht="21" x14ac:dyDescent="0.4">
      <c r="A114" s="14"/>
      <c r="B114" s="36"/>
    </row>
    <row r="115" spans="1:2" ht="21" x14ac:dyDescent="0.4">
      <c r="A115" s="14"/>
      <c r="B115" s="36"/>
    </row>
    <row r="116" spans="1:2" ht="21" x14ac:dyDescent="0.4">
      <c r="A116" s="14"/>
      <c r="B116" s="36"/>
    </row>
    <row r="117" spans="1:2" ht="21" x14ac:dyDescent="0.4">
      <c r="A117" s="14"/>
      <c r="B117" s="36"/>
    </row>
    <row r="118" spans="1:2" ht="21" x14ac:dyDescent="0.4">
      <c r="A118" s="14"/>
      <c r="B118" s="36"/>
    </row>
    <row r="119" spans="1:2" ht="21" x14ac:dyDescent="0.4">
      <c r="A119" s="14"/>
      <c r="B119" s="36"/>
    </row>
    <row r="120" spans="1:2" ht="21" x14ac:dyDescent="0.4">
      <c r="A120" s="14"/>
      <c r="B120" s="36"/>
    </row>
    <row r="121" spans="1:2" ht="21" x14ac:dyDescent="0.4">
      <c r="A121" s="14"/>
      <c r="B121" s="36"/>
    </row>
    <row r="122" spans="1:2" ht="21" x14ac:dyDescent="0.4">
      <c r="A122" s="14"/>
      <c r="B122" s="36"/>
    </row>
    <row r="123" spans="1:2" ht="21" x14ac:dyDescent="0.4">
      <c r="A123" s="14"/>
      <c r="B123" s="36"/>
    </row>
    <row r="124" spans="1:2" ht="21" x14ac:dyDescent="0.4">
      <c r="A124" s="14"/>
      <c r="B124" s="36"/>
    </row>
    <row r="125" spans="1:2" ht="21" x14ac:dyDescent="0.4">
      <c r="A125" s="14"/>
      <c r="B125" s="36"/>
    </row>
    <row r="126" spans="1:2" ht="21" x14ac:dyDescent="0.4">
      <c r="A126" s="14"/>
      <c r="B126" s="36"/>
    </row>
    <row r="127" spans="1:2" ht="21.6" thickBot="1" x14ac:dyDescent="0.45">
      <c r="A127" s="15"/>
      <c r="B127" s="15"/>
    </row>
    <row r="128" spans="1:2" ht="21" x14ac:dyDescent="0.4">
      <c r="A128" s="14"/>
      <c r="B128" s="36"/>
    </row>
    <row r="129" spans="1:2" ht="21" x14ac:dyDescent="0.4">
      <c r="A129" s="14"/>
      <c r="B129" s="36"/>
    </row>
    <row r="130" spans="1:2" ht="21" x14ac:dyDescent="0.4">
      <c r="A130" s="14"/>
      <c r="B130" s="36"/>
    </row>
    <row r="131" spans="1:2" ht="21" x14ac:dyDescent="0.4">
      <c r="A131" s="14"/>
      <c r="B131" s="36"/>
    </row>
    <row r="132" spans="1:2" ht="21" x14ac:dyDescent="0.4">
      <c r="A132" s="14"/>
      <c r="B132" s="36"/>
    </row>
    <row r="133" spans="1:2" ht="21" x14ac:dyDescent="0.4">
      <c r="A133" s="14"/>
      <c r="B133" s="36"/>
    </row>
    <row r="134" spans="1:2" ht="21" x14ac:dyDescent="0.4">
      <c r="A134" s="14"/>
      <c r="B134" s="36"/>
    </row>
    <row r="135" spans="1:2" ht="21" x14ac:dyDescent="0.4">
      <c r="A135" s="14"/>
      <c r="B135" s="36"/>
    </row>
    <row r="136" spans="1:2" ht="21" x14ac:dyDescent="0.4">
      <c r="A136" s="14"/>
      <c r="B136" s="36"/>
    </row>
    <row r="137" spans="1:2" ht="21" x14ac:dyDescent="0.4">
      <c r="A137" s="14"/>
      <c r="B137" s="36"/>
    </row>
    <row r="138" spans="1:2" ht="21" x14ac:dyDescent="0.4">
      <c r="A138" s="14"/>
      <c r="B138" s="36"/>
    </row>
    <row r="139" spans="1:2" ht="21" x14ac:dyDescent="0.4">
      <c r="A139" s="14"/>
      <c r="B139" s="36"/>
    </row>
    <row r="140" spans="1:2" ht="21" x14ac:dyDescent="0.4">
      <c r="A140" s="14"/>
      <c r="B140" s="36"/>
    </row>
    <row r="141" spans="1:2" ht="21.6" thickBot="1" x14ac:dyDescent="0.45">
      <c r="A141" s="15"/>
      <c r="B141" s="15"/>
    </row>
    <row r="142" spans="1:2" ht="21" x14ac:dyDescent="0.4">
      <c r="A142" s="14"/>
      <c r="B142" s="36"/>
    </row>
    <row r="143" spans="1:2" ht="21" x14ac:dyDescent="0.4">
      <c r="A143" s="14"/>
      <c r="B143" s="36"/>
    </row>
    <row r="144" spans="1:2" ht="21" x14ac:dyDescent="0.4">
      <c r="A144" s="14"/>
      <c r="B144" s="36"/>
    </row>
    <row r="145" spans="1:2" ht="21" x14ac:dyDescent="0.4">
      <c r="A145" s="14"/>
      <c r="B145" s="36"/>
    </row>
    <row r="146" spans="1:2" ht="21" x14ac:dyDescent="0.4">
      <c r="A146" s="14"/>
      <c r="B146" s="36"/>
    </row>
    <row r="147" spans="1:2" ht="21" x14ac:dyDescent="0.4">
      <c r="A147" s="14"/>
      <c r="B147" s="36"/>
    </row>
    <row r="148" spans="1:2" ht="21" x14ac:dyDescent="0.4">
      <c r="A148" s="14"/>
      <c r="B148" s="36"/>
    </row>
    <row r="149" spans="1:2" ht="21" x14ac:dyDescent="0.4">
      <c r="A149" s="14"/>
      <c r="B149" s="36"/>
    </row>
    <row r="150" spans="1:2" ht="21" x14ac:dyDescent="0.4">
      <c r="A150" s="14"/>
      <c r="B150" s="36"/>
    </row>
    <row r="151" spans="1:2" ht="21" x14ac:dyDescent="0.4">
      <c r="A151" s="14"/>
      <c r="B151" s="36"/>
    </row>
    <row r="152" spans="1:2" ht="21" x14ac:dyDescent="0.4">
      <c r="A152" s="14"/>
      <c r="B152" s="36"/>
    </row>
    <row r="153" spans="1:2" ht="21" x14ac:dyDescent="0.4">
      <c r="A153" s="14"/>
      <c r="B153" s="36"/>
    </row>
    <row r="154" spans="1:2" ht="21" x14ac:dyDescent="0.4">
      <c r="A154" s="14"/>
      <c r="B154" s="36"/>
    </row>
    <row r="155" spans="1:2" ht="21.6" thickBot="1" x14ac:dyDescent="0.45">
      <c r="A155" s="15"/>
      <c r="B155" s="15"/>
    </row>
    <row r="156" spans="1:2" ht="21" x14ac:dyDescent="0.4">
      <c r="A156" s="14"/>
      <c r="B156" s="36"/>
    </row>
    <row r="157" spans="1:2" ht="21" x14ac:dyDescent="0.4">
      <c r="A157" s="14"/>
      <c r="B157" s="36"/>
    </row>
    <row r="158" spans="1:2" ht="21" x14ac:dyDescent="0.4">
      <c r="A158" s="14"/>
      <c r="B158" s="36"/>
    </row>
    <row r="159" spans="1:2" ht="21" x14ac:dyDescent="0.4">
      <c r="A159" s="14"/>
      <c r="B159" s="36"/>
    </row>
    <row r="160" spans="1:2" ht="21" x14ac:dyDescent="0.4">
      <c r="A160" s="14"/>
      <c r="B160" s="36"/>
    </row>
    <row r="161" spans="1:2" ht="21" x14ac:dyDescent="0.4">
      <c r="A161" s="14"/>
      <c r="B161" s="36"/>
    </row>
    <row r="162" spans="1:2" ht="21" x14ac:dyDescent="0.4">
      <c r="A162" s="14"/>
      <c r="B162" s="36"/>
    </row>
    <row r="163" spans="1:2" ht="21" x14ac:dyDescent="0.4">
      <c r="A163" s="14"/>
      <c r="B163" s="36"/>
    </row>
    <row r="164" spans="1:2" ht="21" x14ac:dyDescent="0.4">
      <c r="A164" s="14"/>
      <c r="B164" s="36"/>
    </row>
    <row r="165" spans="1:2" ht="21" x14ac:dyDescent="0.4">
      <c r="A165" s="14"/>
      <c r="B165" s="36"/>
    </row>
    <row r="166" spans="1:2" ht="21" x14ac:dyDescent="0.4">
      <c r="A166" s="14"/>
      <c r="B166" s="36"/>
    </row>
    <row r="167" spans="1:2" ht="21" x14ac:dyDescent="0.4">
      <c r="A167" s="14"/>
      <c r="B167" s="36"/>
    </row>
    <row r="168" spans="1:2" ht="21" x14ac:dyDescent="0.4">
      <c r="A168" s="14"/>
      <c r="B168" s="36"/>
    </row>
    <row r="169" spans="1:2" ht="21.6" thickBot="1" x14ac:dyDescent="0.45">
      <c r="A169" s="15"/>
      <c r="B169" s="15"/>
    </row>
    <row r="170" spans="1:2" ht="21" x14ac:dyDescent="0.4">
      <c r="A170" s="14"/>
      <c r="B170" s="36"/>
    </row>
    <row r="171" spans="1:2" ht="21" x14ac:dyDescent="0.4">
      <c r="A171" s="14"/>
      <c r="B171" s="36"/>
    </row>
  </sheetData>
  <autoFilter ref="A1:B1" xr:uid="{AD10DBE7-20AD-464B-9969-06FF5B05E788}"/>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37E6A7-1926-469F-AC09-E6C2F4799FF6}">
  <sheetPr codeName="Sheet3"/>
  <dimension ref="A1:C22"/>
  <sheetViews>
    <sheetView workbookViewId="0">
      <selection activeCell="I2" sqref="I2"/>
    </sheetView>
  </sheetViews>
  <sheetFormatPr defaultColWidth="8.88671875" defaultRowHeight="14.4" x14ac:dyDescent="0.3"/>
  <cols>
    <col min="1" max="1" width="18.77734375" bestFit="1" customWidth="1"/>
    <col min="2" max="2" width="15.5546875" style="3" bestFit="1" customWidth="1"/>
    <col min="3" max="3" width="29.109375" style="39" bestFit="1" customWidth="1"/>
  </cols>
  <sheetData>
    <row r="1" spans="1:3" ht="26.4" thickBot="1" x14ac:dyDescent="0.55000000000000004">
      <c r="A1" s="55" t="s">
        <v>94</v>
      </c>
      <c r="B1" s="60" t="s">
        <v>95</v>
      </c>
      <c r="C1" s="61" t="s">
        <v>93</v>
      </c>
    </row>
    <row r="2" spans="1:3" ht="21" x14ac:dyDescent="0.4">
      <c r="A2" s="13">
        <v>44972</v>
      </c>
      <c r="B2" s="13">
        <v>44974</v>
      </c>
      <c r="C2" s="35">
        <v>3</v>
      </c>
    </row>
    <row r="3" spans="1:3" ht="21" x14ac:dyDescent="0.4">
      <c r="A3" s="34">
        <v>44983</v>
      </c>
      <c r="B3" s="34">
        <v>44985</v>
      </c>
      <c r="C3" s="36">
        <v>3</v>
      </c>
    </row>
    <row r="4" spans="1:3" ht="21" x14ac:dyDescent="0.4">
      <c r="A4" s="34"/>
      <c r="B4" s="34"/>
      <c r="C4" s="36"/>
    </row>
    <row r="5" spans="1:3" ht="21" x14ac:dyDescent="0.4">
      <c r="A5" s="34"/>
      <c r="B5" s="34"/>
      <c r="C5" s="36"/>
    </row>
    <row r="6" spans="1:3" ht="21" x14ac:dyDescent="0.4">
      <c r="A6" s="34"/>
      <c r="B6" s="34"/>
      <c r="C6" s="36"/>
    </row>
    <row r="7" spans="1:3" ht="21" x14ac:dyDescent="0.4">
      <c r="A7" s="34"/>
      <c r="B7" s="34"/>
      <c r="C7" s="36"/>
    </row>
    <row r="8" spans="1:3" ht="21" x14ac:dyDescent="0.4">
      <c r="A8" s="34"/>
      <c r="B8" s="34"/>
      <c r="C8" s="36"/>
    </row>
    <row r="9" spans="1:3" ht="21" x14ac:dyDescent="0.4">
      <c r="A9" s="34"/>
      <c r="B9" s="34"/>
      <c r="C9" s="36"/>
    </row>
    <row r="10" spans="1:3" ht="21" x14ac:dyDescent="0.4">
      <c r="A10" s="34"/>
      <c r="B10" s="34"/>
      <c r="C10" s="36"/>
    </row>
    <row r="11" spans="1:3" ht="21" x14ac:dyDescent="0.4">
      <c r="A11" s="34"/>
      <c r="B11" s="34"/>
      <c r="C11" s="36"/>
    </row>
    <row r="12" spans="1:3" ht="21" x14ac:dyDescent="0.4">
      <c r="A12" s="34"/>
      <c r="B12" s="34"/>
      <c r="C12" s="36"/>
    </row>
    <row r="13" spans="1:3" ht="21" x14ac:dyDescent="0.4">
      <c r="A13" s="34"/>
      <c r="B13" s="34"/>
      <c r="C13" s="36"/>
    </row>
    <row r="14" spans="1:3" ht="21" x14ac:dyDescent="0.4">
      <c r="A14" s="34"/>
      <c r="B14" s="34"/>
      <c r="C14" s="36"/>
    </row>
    <row r="15" spans="1:3" ht="21" x14ac:dyDescent="0.4">
      <c r="A15" s="34"/>
      <c r="B15" s="34"/>
      <c r="C15" s="36"/>
    </row>
    <row r="16" spans="1:3" ht="21" x14ac:dyDescent="0.4">
      <c r="A16" s="34"/>
      <c r="B16" s="34"/>
      <c r="C16" s="36"/>
    </row>
    <row r="17" spans="1:3" ht="21" x14ac:dyDescent="0.4">
      <c r="A17" s="34"/>
      <c r="B17" s="34"/>
      <c r="C17" s="36"/>
    </row>
    <row r="18" spans="1:3" ht="21" x14ac:dyDescent="0.4">
      <c r="A18" s="34"/>
      <c r="B18" s="34"/>
      <c r="C18" s="36"/>
    </row>
    <row r="19" spans="1:3" ht="21" x14ac:dyDescent="0.4">
      <c r="A19" s="34"/>
      <c r="B19" s="34"/>
      <c r="C19" s="36"/>
    </row>
    <row r="20" spans="1:3" ht="21.6" thickBot="1" x14ac:dyDescent="0.45">
      <c r="A20" s="37"/>
      <c r="B20" s="37"/>
      <c r="C20" s="38"/>
    </row>
    <row r="21" spans="1:3" x14ac:dyDescent="0.3">
      <c r="B21"/>
      <c r="C21"/>
    </row>
    <row r="22" spans="1:3" x14ac:dyDescent="0.3">
      <c r="B22"/>
      <c r="C22"/>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Accueil</vt:lpstr>
      <vt:lpstr>Personnel</vt:lpstr>
      <vt:lpstr>Feuil2</vt:lpstr>
      <vt:lpstr>Tableau de bord</vt:lpstr>
      <vt:lpstr>Produits</vt:lpstr>
      <vt:lpstr>Facturation</vt:lpstr>
      <vt:lpstr>Client</vt:lpstr>
      <vt:lpstr>Vente</vt:lpstr>
      <vt:lpstr>Vacances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16132</dc:creator>
  <cp:lastModifiedBy>Charaf Idrissi</cp:lastModifiedBy>
  <cp:lastPrinted>2023-04-20T01:26:32Z</cp:lastPrinted>
  <dcterms:created xsi:type="dcterms:W3CDTF">2023-04-08T13:20:15Z</dcterms:created>
  <dcterms:modified xsi:type="dcterms:W3CDTF">2023-09-16T23:28:09Z</dcterms:modified>
</cp:coreProperties>
</file>